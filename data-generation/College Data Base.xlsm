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9" codeName="{857A39E2-67AF-9BA6-E15C-A4B3A0C7559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georgiosaslanidis/Desktop/"/>
    </mc:Choice>
  </mc:AlternateContent>
  <xr:revisionPtr revIDLastSave="0" documentId="13_ncr:1_{F6E7D82F-2AE4-3941-9D03-A1FCBBD6094D}" xr6:coauthVersionLast="47" xr6:coauthVersionMax="47" xr10:uidLastSave="{00000000-0000-0000-0000-000000000000}"/>
  <bookViews>
    <workbookView xWindow="2660" yWindow="760" windowWidth="31900" windowHeight="19940" firstSheet="1" activeTab="6" xr2:uid="{00000000-000D-0000-FFFF-FFFF00000000}"/>
  </bookViews>
  <sheets>
    <sheet name="__hidden" sheetId="38" state="veryHidden" r:id="rId1"/>
    <sheet name="COND" sheetId="47" r:id="rId2"/>
    <sheet name="Students" sheetId="50" r:id="rId3"/>
    <sheet name="Courses" sheetId="51" r:id="rId4"/>
    <sheet name="Enrolments" sheetId="62" r:id="rId5"/>
    <sheet name="Professors" sheetId="52" r:id="rId6"/>
    <sheet name="Assignments_Tests" sheetId="57" r:id="rId7"/>
    <sheet name="Projects" sheetId="60" r:id="rId8"/>
    <sheet name="Midterms" sheetId="58" r:id="rId9"/>
    <sheet name="Finals" sheetId="59" r:id="rId10"/>
    <sheet name="Assignments_Results" sheetId="54" r:id="rId11"/>
    <sheet name="Projects_Results" sheetId="61" r:id="rId12"/>
    <sheet name="Midterms_Results" sheetId="55" r:id="rId13"/>
    <sheet name="Finals_Results" sheetId="56" r:id="rId14"/>
    <sheet name="Grades" sheetId="65" r:id="rId15"/>
  </sheets>
  <functionGroups builtInGroupCount="19"/>
  <definedNames>
    <definedName name="_xlnm._FilterDatabase" localSheetId="0" hidden="1">__hidden!$C$1:$C$1207</definedName>
    <definedName name="_xleta.RAND" hidden="1" xlm="1">#NAME?</definedName>
    <definedName name="_xleta.RANDBETWEEN" hidden="1" xlm="1">#NAME?</definedName>
    <definedName name="_xlnm.Extract" localSheetId="0">__hidden!#REF!</definedName>
    <definedName name="ffn">__hidden!$C$1:$C$1110</definedName>
    <definedName name="ln">__hidden!$F$1:$F$2421</definedName>
    <definedName name="mfn">__hidden!$A$1:$A$959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65" l="1"/>
  <c r="C3" i="62"/>
  <c r="C4" i="62"/>
  <c r="C5" i="62"/>
  <c r="C6" i="62"/>
  <c r="C7" i="62"/>
  <c r="C8" i="62"/>
  <c r="C9" i="62"/>
  <c r="C10" i="62"/>
  <c r="C11" i="62"/>
  <c r="C12" i="62"/>
  <c r="C13" i="62"/>
  <c r="C14" i="62"/>
  <c r="C15" i="62"/>
  <c r="C16" i="62"/>
  <c r="C17" i="62"/>
  <c r="C18" i="62"/>
  <c r="C19" i="62"/>
  <c r="C20" i="62"/>
  <c r="C21" i="62"/>
  <c r="C22" i="62"/>
  <c r="C23" i="62"/>
  <c r="C26" i="62"/>
  <c r="C27" i="62"/>
  <c r="C28" i="62"/>
  <c r="C29" i="62"/>
  <c r="C30" i="62"/>
  <c r="C31" i="62"/>
  <c r="C32" i="62"/>
  <c r="C33" i="62"/>
  <c r="C34" i="62"/>
  <c r="C35" i="62"/>
  <c r="C36" i="62"/>
  <c r="C37" i="62"/>
  <c r="C38" i="62"/>
  <c r="C39" i="62"/>
  <c r="C40" i="62"/>
  <c r="C41" i="62"/>
  <c r="C42" i="62"/>
  <c r="C43" i="62"/>
  <c r="C44" i="62"/>
  <c r="C45" i="62"/>
  <c r="C46" i="62"/>
  <c r="C47" i="62"/>
  <c r="C48" i="62"/>
  <c r="C49" i="62"/>
  <c r="C50" i="62"/>
  <c r="C51" i="62"/>
  <c r="C52" i="62"/>
  <c r="C53" i="62"/>
  <c r="C54" i="62"/>
  <c r="C55" i="62"/>
  <c r="C56" i="62"/>
  <c r="C57" i="62"/>
  <c r="C58" i="62"/>
  <c r="C59" i="62"/>
  <c r="C60" i="62"/>
  <c r="C61" i="62"/>
  <c r="C62" i="62"/>
  <c r="C63" i="62"/>
  <c r="C64" i="62"/>
  <c r="C65" i="62"/>
  <c r="C66" i="62"/>
  <c r="C67" i="62"/>
  <c r="C68" i="62"/>
  <c r="C69" i="62"/>
  <c r="C70" i="62"/>
  <c r="C71" i="62"/>
  <c r="C72" i="62"/>
  <c r="C73" i="62"/>
  <c r="C74" i="62"/>
  <c r="C75" i="62"/>
  <c r="C76" i="62"/>
  <c r="C77" i="62"/>
  <c r="C78" i="62"/>
  <c r="C79" i="62"/>
  <c r="C80" i="62"/>
  <c r="C81" i="62"/>
  <c r="C82" i="62"/>
  <c r="C83" i="62"/>
  <c r="C84" i="62"/>
  <c r="C85" i="62"/>
  <c r="C86" i="62"/>
  <c r="C87" i="62"/>
  <c r="C88" i="62"/>
  <c r="C89" i="62"/>
  <c r="C90" i="62"/>
  <c r="C91" i="62"/>
  <c r="C92" i="62"/>
  <c r="C93" i="62"/>
  <c r="C94" i="62"/>
  <c r="C95" i="62"/>
  <c r="C96" i="62"/>
  <c r="C97" i="62"/>
  <c r="C98" i="62"/>
  <c r="C99" i="62"/>
  <c r="C100" i="62"/>
  <c r="C101" i="62"/>
  <c r="C102" i="62"/>
  <c r="C103" i="62"/>
  <c r="C104" i="62"/>
  <c r="C105" i="62"/>
  <c r="C106" i="62"/>
  <c r="C107" i="62"/>
  <c r="C108" i="62"/>
  <c r="C109" i="62"/>
  <c r="C110" i="62"/>
  <c r="C111" i="62"/>
  <c r="C112" i="62"/>
  <c r="C113" i="62"/>
  <c r="C114" i="62"/>
  <c r="C115" i="62"/>
  <c r="C116" i="62"/>
  <c r="C117" i="62"/>
  <c r="C118" i="62"/>
  <c r="C119" i="62"/>
  <c r="C120" i="62"/>
  <c r="C121" i="62"/>
  <c r="C122" i="62"/>
  <c r="C123" i="62"/>
  <c r="C124" i="62"/>
  <c r="C125" i="62"/>
  <c r="C126" i="62"/>
  <c r="C127" i="62"/>
  <c r="C128" i="62"/>
  <c r="C129" i="62"/>
  <c r="C130" i="62"/>
  <c r="C131" i="62"/>
  <c r="C132" i="62"/>
  <c r="C133" i="62"/>
  <c r="C134" i="62"/>
  <c r="C135" i="62"/>
  <c r="C136" i="62"/>
  <c r="C137" i="62"/>
  <c r="C138" i="62"/>
  <c r="C139" i="62"/>
  <c r="C140" i="62"/>
  <c r="C141" i="62"/>
  <c r="C142" i="62"/>
  <c r="C143" i="62"/>
  <c r="C144" i="62"/>
  <c r="C145" i="62"/>
  <c r="C146" i="62"/>
  <c r="C147" i="62"/>
  <c r="C148" i="62"/>
  <c r="C149" i="62"/>
  <c r="C150" i="62"/>
  <c r="C151" i="62"/>
  <c r="C152" i="62"/>
  <c r="C153" i="62"/>
  <c r="C154" i="62"/>
  <c r="C155" i="62"/>
  <c r="C156" i="62"/>
  <c r="C157" i="62"/>
  <c r="C158" i="62"/>
  <c r="C159" i="62"/>
  <c r="C160" i="62"/>
  <c r="C161" i="62"/>
  <c r="C162" i="62"/>
  <c r="C163" i="62"/>
  <c r="C164" i="62"/>
  <c r="C165" i="62"/>
  <c r="C166" i="62"/>
  <c r="C167" i="62"/>
  <c r="C168" i="62"/>
  <c r="C169" i="62"/>
  <c r="C170" i="62"/>
  <c r="C171" i="62"/>
  <c r="C172" i="62"/>
  <c r="C173" i="62"/>
  <c r="C174" i="62"/>
  <c r="C175" i="62"/>
  <c r="C176" i="62"/>
  <c r="C177" i="62"/>
  <c r="C178" i="62"/>
  <c r="C179" i="62"/>
  <c r="C180" i="62"/>
  <c r="C181" i="62"/>
  <c r="C182" i="62"/>
  <c r="C183" i="62"/>
  <c r="C184" i="62"/>
  <c r="C185" i="62"/>
  <c r="C186" i="62"/>
  <c r="C187" i="62"/>
  <c r="C188" i="62"/>
  <c r="C189" i="62"/>
  <c r="C190" i="62"/>
  <c r="C191" i="62"/>
  <c r="C192" i="62"/>
  <c r="C193" i="62"/>
  <c r="C194" i="62"/>
  <c r="C195" i="62"/>
  <c r="C196" i="62"/>
  <c r="C197" i="62"/>
  <c r="C198" i="62"/>
  <c r="C199" i="62"/>
  <c r="C200" i="62"/>
  <c r="C201" i="62"/>
  <c r="C202" i="62"/>
  <c r="C203" i="62"/>
  <c r="C204" i="62"/>
  <c r="C205" i="62"/>
  <c r="C206" i="62"/>
  <c r="C207" i="62"/>
  <c r="C208" i="62"/>
  <c r="C209" i="62"/>
  <c r="C210" i="62"/>
  <c r="C211" i="62"/>
  <c r="C212" i="62"/>
  <c r="C213" i="62"/>
  <c r="C214" i="62"/>
  <c r="C215" i="62"/>
  <c r="C216" i="62"/>
  <c r="C217" i="62"/>
  <c r="C218" i="62"/>
  <c r="C219" i="62"/>
  <c r="C220" i="62"/>
  <c r="C221" i="62"/>
  <c r="C222" i="62"/>
  <c r="C223" i="62"/>
  <c r="C224" i="62"/>
  <c r="C225" i="62"/>
  <c r="C226" i="62"/>
  <c r="C227" i="62"/>
  <c r="C228" i="62"/>
  <c r="C229" i="62"/>
  <c r="C230" i="62"/>
  <c r="C231" i="62"/>
  <c r="C232" i="62"/>
  <c r="C233" i="62"/>
  <c r="C234" i="62"/>
  <c r="C235" i="62"/>
  <c r="C236" i="62"/>
  <c r="C237" i="62"/>
  <c r="C238" i="62"/>
  <c r="C239" i="62"/>
  <c r="C240" i="62"/>
  <c r="C241" i="62"/>
  <c r="C242" i="62"/>
  <c r="C243" i="62"/>
  <c r="C244" i="62"/>
  <c r="C245" i="62"/>
  <c r="C246" i="62"/>
  <c r="C247" i="62"/>
  <c r="C248" i="62"/>
  <c r="C249" i="62"/>
  <c r="C250" i="62"/>
  <c r="C251" i="62"/>
  <c r="C252" i="62"/>
  <c r="C253" i="62"/>
  <c r="C254" i="62"/>
  <c r="C255" i="62"/>
  <c r="C256" i="62"/>
  <c r="C257" i="62"/>
  <c r="C258" i="62"/>
  <c r="C259" i="62"/>
  <c r="C260" i="62"/>
  <c r="C261" i="62"/>
  <c r="C262" i="62"/>
  <c r="C263" i="62"/>
  <c r="C264" i="62"/>
  <c r="C265" i="62"/>
  <c r="C266" i="62"/>
  <c r="C267" i="62"/>
  <c r="C268" i="62"/>
  <c r="C269" i="62"/>
  <c r="C270" i="62"/>
  <c r="C271" i="62"/>
  <c r="C272" i="62"/>
  <c r="C273" i="62"/>
  <c r="C274" i="62"/>
  <c r="C275" i="62"/>
  <c r="C276" i="62"/>
  <c r="C277" i="62"/>
  <c r="C278" i="62"/>
  <c r="C279" i="62"/>
  <c r="C280" i="62"/>
  <c r="C2" i="62"/>
  <c r="B3" i="65"/>
  <c r="B4" i="65"/>
  <c r="B5" i="65"/>
  <c r="B6" i="65"/>
  <c r="B7" i="65"/>
  <c r="B8" i="65"/>
  <c r="B9" i="65"/>
  <c r="B10" i="65"/>
  <c r="B11" i="65"/>
  <c r="B12" i="65"/>
  <c r="B13" i="65"/>
  <c r="B14" i="65"/>
  <c r="B15" i="65"/>
  <c r="B16" i="65"/>
  <c r="B17" i="65"/>
  <c r="B18" i="65"/>
  <c r="B19" i="65"/>
  <c r="B20" i="65"/>
  <c r="B21" i="65"/>
  <c r="B22" i="65"/>
  <c r="B23" i="65"/>
  <c r="B24" i="65"/>
  <c r="B25" i="65"/>
  <c r="B26" i="65"/>
  <c r="B27" i="65"/>
  <c r="B28" i="65"/>
  <c r="B29" i="65"/>
  <c r="B30" i="65"/>
  <c r="B31" i="65"/>
  <c r="B32" i="65"/>
  <c r="B33" i="65"/>
  <c r="B34" i="65"/>
  <c r="B35" i="65"/>
  <c r="B36" i="65"/>
  <c r="B37" i="65"/>
  <c r="B38" i="65"/>
  <c r="B39" i="65"/>
  <c r="B40" i="65"/>
  <c r="B41" i="65"/>
  <c r="B42" i="65"/>
  <c r="B43" i="65"/>
  <c r="B44" i="65"/>
  <c r="B45" i="65"/>
  <c r="B46" i="65"/>
  <c r="B47" i="65"/>
  <c r="B48" i="65"/>
  <c r="B49" i="65"/>
  <c r="B50" i="65"/>
  <c r="B51" i="65"/>
  <c r="B52" i="65"/>
  <c r="B53" i="65"/>
  <c r="B54" i="65"/>
  <c r="B55" i="65"/>
  <c r="B56" i="65"/>
  <c r="B57" i="65"/>
  <c r="B58" i="65"/>
  <c r="B59" i="65"/>
  <c r="B60" i="65"/>
  <c r="B61" i="65"/>
  <c r="B62" i="65"/>
  <c r="B63" i="65"/>
  <c r="B64" i="65"/>
  <c r="B65" i="65"/>
  <c r="B66" i="65"/>
  <c r="B67" i="65"/>
  <c r="B68" i="65"/>
  <c r="B69" i="65"/>
  <c r="B70" i="65"/>
  <c r="B71" i="65"/>
  <c r="B72" i="65"/>
  <c r="B73" i="65"/>
  <c r="B74" i="65"/>
  <c r="B75" i="65"/>
  <c r="B76" i="65"/>
  <c r="B77" i="65"/>
  <c r="B78" i="65"/>
  <c r="B79" i="65"/>
  <c r="B80" i="65"/>
  <c r="B81" i="65"/>
  <c r="B82" i="65"/>
  <c r="B83" i="65"/>
  <c r="B84" i="65"/>
  <c r="B85" i="65"/>
  <c r="B86" i="65"/>
  <c r="B87" i="65"/>
  <c r="B88" i="65"/>
  <c r="B89" i="65"/>
  <c r="B90" i="65"/>
  <c r="B91" i="65"/>
  <c r="B92" i="65"/>
  <c r="B93" i="65"/>
  <c r="B94" i="65"/>
  <c r="B95" i="65"/>
  <c r="B96" i="65"/>
  <c r="B97" i="65"/>
  <c r="B98" i="65"/>
  <c r="B99" i="65"/>
  <c r="B100" i="65"/>
  <c r="B101" i="65"/>
  <c r="B102" i="65"/>
  <c r="B103" i="65"/>
  <c r="B104" i="65"/>
  <c r="B105" i="65"/>
  <c r="B106" i="65"/>
  <c r="B107" i="65"/>
  <c r="B108" i="65"/>
  <c r="B109" i="65"/>
  <c r="B110" i="65"/>
  <c r="B111" i="65"/>
  <c r="B112" i="65"/>
  <c r="B113" i="65"/>
  <c r="B114" i="65"/>
  <c r="B115" i="65"/>
  <c r="B116" i="65"/>
  <c r="B117" i="65"/>
  <c r="B118" i="65"/>
  <c r="B119" i="65"/>
  <c r="B120" i="65"/>
  <c r="B121" i="65"/>
  <c r="B122" i="65"/>
  <c r="B123" i="65"/>
  <c r="B124" i="65"/>
  <c r="B125" i="65"/>
  <c r="B126" i="65"/>
  <c r="B127" i="65"/>
  <c r="B128" i="65"/>
  <c r="B129" i="65"/>
  <c r="B130" i="65"/>
  <c r="B131" i="65"/>
  <c r="B132" i="65"/>
  <c r="B133" i="65"/>
  <c r="B134" i="65"/>
  <c r="B135" i="65"/>
  <c r="B136" i="65"/>
  <c r="B137" i="65"/>
  <c r="B138" i="65"/>
  <c r="B139" i="65"/>
  <c r="B140" i="65"/>
  <c r="B141" i="65"/>
  <c r="B142" i="65"/>
  <c r="B143" i="65"/>
  <c r="B144" i="65"/>
  <c r="B145" i="65"/>
  <c r="B146" i="65"/>
  <c r="B147" i="65"/>
  <c r="B148" i="65"/>
  <c r="B149" i="65"/>
  <c r="B150" i="65"/>
  <c r="B151" i="65"/>
  <c r="B152" i="65"/>
  <c r="B153" i="65"/>
  <c r="B154" i="65"/>
  <c r="B155" i="65"/>
  <c r="B156" i="65"/>
  <c r="B157" i="65"/>
  <c r="B158" i="65"/>
  <c r="B159" i="65"/>
  <c r="B160" i="65"/>
  <c r="B161" i="65"/>
  <c r="B162" i="65"/>
  <c r="B163" i="65"/>
  <c r="B164" i="65"/>
  <c r="B165" i="65"/>
  <c r="B166" i="65"/>
  <c r="B167" i="65"/>
  <c r="B168" i="65"/>
  <c r="B169" i="65"/>
  <c r="B170" i="65"/>
  <c r="B171" i="65"/>
  <c r="B172" i="65"/>
  <c r="B173" i="65"/>
  <c r="B174" i="65"/>
  <c r="B175" i="65"/>
  <c r="B176" i="65"/>
  <c r="B177" i="65"/>
  <c r="B178" i="65"/>
  <c r="B179" i="65"/>
  <c r="B180" i="65"/>
  <c r="B181" i="65"/>
  <c r="B182" i="65"/>
  <c r="B183" i="65"/>
  <c r="B184" i="65"/>
  <c r="B185" i="65"/>
  <c r="B186" i="65"/>
  <c r="B187" i="65"/>
  <c r="B188" i="65"/>
  <c r="B189" i="65"/>
  <c r="B190" i="65"/>
  <c r="B191" i="65"/>
  <c r="B192" i="65"/>
  <c r="B193" i="65"/>
  <c r="B194" i="65"/>
  <c r="B195" i="65"/>
  <c r="B196" i="65"/>
  <c r="B197" i="65"/>
  <c r="B198" i="65"/>
  <c r="B199" i="65"/>
  <c r="B200" i="65"/>
  <c r="B201" i="65"/>
  <c r="B202" i="65"/>
  <c r="B203" i="65"/>
  <c r="B204" i="65"/>
  <c r="B205" i="65"/>
  <c r="B206" i="65"/>
  <c r="B207" i="65"/>
  <c r="B208" i="65"/>
  <c r="B209" i="65"/>
  <c r="B210" i="65"/>
  <c r="B211" i="65"/>
  <c r="B212" i="65"/>
  <c r="B213" i="65"/>
  <c r="B214" i="65"/>
  <c r="B215" i="65"/>
  <c r="B216" i="65"/>
  <c r="B217" i="65"/>
  <c r="B218" i="65"/>
  <c r="B219" i="65"/>
  <c r="B220" i="65"/>
  <c r="B221" i="65"/>
  <c r="B222" i="65"/>
  <c r="B223" i="65"/>
  <c r="B224" i="65"/>
  <c r="B225" i="65"/>
  <c r="B226" i="65"/>
  <c r="B227" i="65"/>
  <c r="B228" i="65"/>
  <c r="B229" i="65"/>
  <c r="B230" i="65"/>
  <c r="B231" i="65"/>
  <c r="B232" i="65"/>
  <c r="B233" i="65"/>
  <c r="B234" i="65"/>
  <c r="B235" i="65"/>
  <c r="B236" i="65"/>
  <c r="B237" i="65"/>
  <c r="B238" i="65"/>
  <c r="B239" i="65"/>
  <c r="B240" i="65"/>
  <c r="B241" i="65"/>
  <c r="B242" i="65"/>
  <c r="B243" i="65"/>
  <c r="B244" i="65"/>
  <c r="B245" i="65"/>
  <c r="B246" i="65"/>
  <c r="B247" i="65"/>
  <c r="B248" i="65"/>
  <c r="B249" i="65"/>
  <c r="B250" i="65"/>
  <c r="B251" i="65"/>
  <c r="B252" i="65"/>
  <c r="B253" i="65"/>
  <c r="B254" i="65"/>
  <c r="B255" i="65"/>
  <c r="B256" i="65"/>
  <c r="B257" i="65"/>
  <c r="B258" i="65"/>
  <c r="B259" i="65"/>
  <c r="B260" i="65"/>
  <c r="B261" i="65"/>
  <c r="B262" i="65"/>
  <c r="B263" i="65"/>
  <c r="B264" i="65"/>
  <c r="B265" i="65"/>
  <c r="B266" i="65"/>
  <c r="B267" i="65"/>
  <c r="B268" i="65"/>
  <c r="B269" i="65"/>
  <c r="B270" i="65"/>
  <c r="B271" i="65"/>
  <c r="B272" i="65"/>
  <c r="B273" i="65"/>
  <c r="B274" i="65"/>
  <c r="B275" i="65"/>
  <c r="B276" i="65"/>
  <c r="B277" i="65"/>
  <c r="B278" i="65"/>
  <c r="B279" i="65"/>
  <c r="B280" i="65"/>
  <c r="B281" i="65"/>
  <c r="B2" i="65"/>
  <c r="A3" i="65"/>
  <c r="A4" i="65"/>
  <c r="A5" i="65"/>
  <c r="A6" i="65"/>
  <c r="A7" i="65"/>
  <c r="A8" i="65"/>
  <c r="A9" i="65"/>
  <c r="A10" i="65"/>
  <c r="A11" i="65"/>
  <c r="A12" i="65"/>
  <c r="A13" i="65"/>
  <c r="A14" i="65"/>
  <c r="A15" i="65"/>
  <c r="A16" i="65"/>
  <c r="A17" i="65"/>
  <c r="A18" i="65"/>
  <c r="A19" i="65"/>
  <c r="A20" i="65"/>
  <c r="A21" i="65"/>
  <c r="A22" i="65"/>
  <c r="A23" i="65"/>
  <c r="A24" i="65"/>
  <c r="A25" i="65"/>
  <c r="A26" i="65"/>
  <c r="A27" i="65"/>
  <c r="A28" i="65"/>
  <c r="A29" i="65"/>
  <c r="A30" i="65"/>
  <c r="A31" i="65"/>
  <c r="A32" i="65"/>
  <c r="A33" i="65"/>
  <c r="A34" i="65"/>
  <c r="A35" i="65"/>
  <c r="A36" i="65"/>
  <c r="A37" i="65"/>
  <c r="A38" i="65"/>
  <c r="A39" i="65"/>
  <c r="A40" i="65"/>
  <c r="A41" i="65"/>
  <c r="A42" i="65"/>
  <c r="A43" i="65"/>
  <c r="A44" i="65"/>
  <c r="A45" i="65"/>
  <c r="A46" i="65"/>
  <c r="A47" i="65"/>
  <c r="A48" i="65"/>
  <c r="A49" i="65"/>
  <c r="A50" i="65"/>
  <c r="A51" i="65"/>
  <c r="A52" i="65"/>
  <c r="A53" i="65"/>
  <c r="A54" i="65"/>
  <c r="A55" i="65"/>
  <c r="A56" i="65"/>
  <c r="A57" i="65"/>
  <c r="A58" i="65"/>
  <c r="A59" i="65"/>
  <c r="A60" i="65"/>
  <c r="A61" i="65"/>
  <c r="A62" i="65"/>
  <c r="A63" i="65"/>
  <c r="A64" i="65"/>
  <c r="A65" i="65"/>
  <c r="A66" i="65"/>
  <c r="A67" i="65"/>
  <c r="A68" i="65"/>
  <c r="A69" i="65"/>
  <c r="A70" i="65"/>
  <c r="A71" i="65"/>
  <c r="A72" i="65"/>
  <c r="A73" i="65"/>
  <c r="A74" i="65"/>
  <c r="A75" i="65"/>
  <c r="A76" i="65"/>
  <c r="A77" i="65"/>
  <c r="A78" i="65"/>
  <c r="A79" i="65"/>
  <c r="A80" i="65"/>
  <c r="A81" i="65"/>
  <c r="A82" i="65"/>
  <c r="A83" i="65"/>
  <c r="A84" i="65"/>
  <c r="A85" i="65"/>
  <c r="A86" i="65"/>
  <c r="A87" i="65"/>
  <c r="A88" i="65"/>
  <c r="A89" i="65"/>
  <c r="A90" i="65"/>
  <c r="A91" i="65"/>
  <c r="A92" i="65"/>
  <c r="A93" i="65"/>
  <c r="A94" i="65"/>
  <c r="A95" i="65"/>
  <c r="A96" i="65"/>
  <c r="A97" i="65"/>
  <c r="A98" i="65"/>
  <c r="A99" i="65"/>
  <c r="A100" i="65"/>
  <c r="A101" i="65"/>
  <c r="A102" i="65"/>
  <c r="A103" i="65"/>
  <c r="A104" i="65"/>
  <c r="A105" i="65"/>
  <c r="A106" i="65"/>
  <c r="A107" i="65"/>
  <c r="A108" i="65"/>
  <c r="A109" i="65"/>
  <c r="A110" i="65"/>
  <c r="A111" i="65"/>
  <c r="A112" i="65"/>
  <c r="A113" i="65"/>
  <c r="A114" i="65"/>
  <c r="A115" i="65"/>
  <c r="A116" i="65"/>
  <c r="A117" i="65"/>
  <c r="A118" i="65"/>
  <c r="A119" i="65"/>
  <c r="A120" i="65"/>
  <c r="A121" i="65"/>
  <c r="A122" i="65"/>
  <c r="A123" i="65"/>
  <c r="A124" i="65"/>
  <c r="A125" i="65"/>
  <c r="A126" i="65"/>
  <c r="A127" i="65"/>
  <c r="A128" i="65"/>
  <c r="A129" i="65"/>
  <c r="A130" i="65"/>
  <c r="A131" i="65"/>
  <c r="A132" i="65"/>
  <c r="A133" i="65"/>
  <c r="A134" i="65"/>
  <c r="A135" i="65"/>
  <c r="A136" i="65"/>
  <c r="A137" i="65"/>
  <c r="A138" i="65"/>
  <c r="A139" i="65"/>
  <c r="A140" i="65"/>
  <c r="A141" i="65"/>
  <c r="A142" i="65"/>
  <c r="A143" i="65"/>
  <c r="A144" i="65"/>
  <c r="A145" i="65"/>
  <c r="A146" i="65"/>
  <c r="A147" i="65"/>
  <c r="A148" i="65"/>
  <c r="A149" i="65"/>
  <c r="A150" i="65"/>
  <c r="A151" i="65"/>
  <c r="A152" i="65"/>
  <c r="A153" i="65"/>
  <c r="A154" i="65"/>
  <c r="A155" i="65"/>
  <c r="A156" i="65"/>
  <c r="A157" i="65"/>
  <c r="A158" i="65"/>
  <c r="A159" i="65"/>
  <c r="A160" i="65"/>
  <c r="A161" i="65"/>
  <c r="A162" i="65"/>
  <c r="A163" i="65"/>
  <c r="A164" i="65"/>
  <c r="A165" i="65"/>
  <c r="A166" i="65"/>
  <c r="A167" i="65"/>
  <c r="A168" i="65"/>
  <c r="A169" i="65"/>
  <c r="A170" i="65"/>
  <c r="A171" i="65"/>
  <c r="A172" i="65"/>
  <c r="A173" i="65"/>
  <c r="A174" i="65"/>
  <c r="A175" i="65"/>
  <c r="A176" i="65"/>
  <c r="A177" i="65"/>
  <c r="A178" i="65"/>
  <c r="A179" i="65"/>
  <c r="A180" i="65"/>
  <c r="A181" i="65"/>
  <c r="A182" i="65"/>
  <c r="A183" i="65"/>
  <c r="A184" i="65"/>
  <c r="A185" i="65"/>
  <c r="A186" i="65"/>
  <c r="A187" i="65"/>
  <c r="A188" i="65"/>
  <c r="A189" i="65"/>
  <c r="A190" i="65"/>
  <c r="A191" i="65"/>
  <c r="A192" i="65"/>
  <c r="A193" i="65"/>
  <c r="A194" i="65"/>
  <c r="A195" i="65"/>
  <c r="A196" i="65"/>
  <c r="A197" i="65"/>
  <c r="A198" i="65"/>
  <c r="A199" i="65"/>
  <c r="A200" i="65"/>
  <c r="A201" i="65"/>
  <c r="A202" i="65"/>
  <c r="A203" i="65"/>
  <c r="A204" i="65"/>
  <c r="A205" i="65"/>
  <c r="A206" i="65"/>
  <c r="A207" i="65"/>
  <c r="A208" i="65"/>
  <c r="A209" i="65"/>
  <c r="A210" i="65"/>
  <c r="A211" i="65"/>
  <c r="A212" i="65"/>
  <c r="A213" i="65"/>
  <c r="A214" i="65"/>
  <c r="A215" i="65"/>
  <c r="A216" i="65"/>
  <c r="A217" i="65"/>
  <c r="A218" i="65"/>
  <c r="A219" i="65"/>
  <c r="A220" i="65"/>
  <c r="A221" i="65"/>
  <c r="A222" i="65"/>
  <c r="A223" i="65"/>
  <c r="A224" i="65"/>
  <c r="A225" i="65"/>
  <c r="A226" i="65"/>
  <c r="A227" i="65"/>
  <c r="A228" i="65"/>
  <c r="A229" i="65"/>
  <c r="A230" i="65"/>
  <c r="A231" i="65"/>
  <c r="A232" i="65"/>
  <c r="A233" i="65"/>
  <c r="A234" i="65"/>
  <c r="A235" i="65"/>
  <c r="A236" i="65"/>
  <c r="A237" i="65"/>
  <c r="A238" i="65"/>
  <c r="A239" i="65"/>
  <c r="A240" i="65"/>
  <c r="A241" i="65"/>
  <c r="A242" i="65"/>
  <c r="A243" i="65"/>
  <c r="A244" i="65"/>
  <c r="A245" i="65"/>
  <c r="A246" i="65"/>
  <c r="A247" i="65"/>
  <c r="A248" i="65"/>
  <c r="A249" i="65"/>
  <c r="A250" i="65"/>
  <c r="A251" i="65"/>
  <c r="A252" i="65"/>
  <c r="A253" i="65"/>
  <c r="A254" i="65"/>
  <c r="A255" i="65"/>
  <c r="A256" i="65"/>
  <c r="A257" i="65"/>
  <c r="A258" i="65"/>
  <c r="A259" i="65"/>
  <c r="A260" i="65"/>
  <c r="A261" i="65"/>
  <c r="A262" i="65"/>
  <c r="A263" i="65"/>
  <c r="A264" i="65"/>
  <c r="A265" i="65"/>
  <c r="A266" i="65"/>
  <c r="A267" i="65"/>
  <c r="A268" i="65"/>
  <c r="A269" i="65"/>
  <c r="A270" i="65"/>
  <c r="A271" i="65"/>
  <c r="A272" i="65"/>
  <c r="A273" i="65"/>
  <c r="A274" i="65"/>
  <c r="A275" i="65"/>
  <c r="A276" i="65"/>
  <c r="A277" i="65"/>
  <c r="A278" i="65"/>
  <c r="A279" i="65"/>
  <c r="A280" i="65"/>
  <c r="A281" i="65"/>
  <c r="E3" i="51"/>
  <c r="E4" i="51"/>
  <c r="E5" i="51"/>
  <c r="E6" i="51"/>
  <c r="E7" i="51"/>
  <c r="E8" i="51"/>
  <c r="E9" i="51"/>
  <c r="E10" i="51"/>
  <c r="E11" i="51"/>
  <c r="E12" i="51"/>
  <c r="E13" i="51"/>
  <c r="E14" i="51"/>
  <c r="E15" i="51"/>
  <c r="E2" i="51"/>
  <c r="I4" i="62"/>
  <c r="B3" i="62" s="1"/>
  <c r="I5" i="62"/>
  <c r="B4" i="62" s="1"/>
  <c r="I6" i="62"/>
  <c r="B75" i="62" s="1"/>
  <c r="I7" i="62"/>
  <c r="B76" i="62" s="1"/>
  <c r="I8" i="62"/>
  <c r="B63" i="62" s="1"/>
  <c r="I9" i="62"/>
  <c r="B64" i="62" s="1"/>
  <c r="I10" i="62"/>
  <c r="B51" i="62" s="1"/>
  <c r="I11" i="62"/>
  <c r="B52" i="62" s="1"/>
  <c r="I12" i="62"/>
  <c r="B39" i="62" s="1"/>
  <c r="I13" i="62"/>
  <c r="B40" i="62" s="1"/>
  <c r="I14" i="62"/>
  <c r="B27" i="62" s="1"/>
  <c r="I15" i="62"/>
  <c r="B28" i="62" s="1"/>
  <c r="I16" i="62"/>
  <c r="B15" i="62" s="1"/>
  <c r="I3" i="62"/>
  <c r="B16" i="62" s="1"/>
  <c r="H4" i="62"/>
  <c r="A24" i="62" s="1"/>
  <c r="H5" i="62"/>
  <c r="A38" i="62" s="1"/>
  <c r="H6" i="62"/>
  <c r="A49" i="62" s="1"/>
  <c r="H7" i="62"/>
  <c r="A60" i="62" s="1"/>
  <c r="H8" i="62"/>
  <c r="A73" i="62" s="1"/>
  <c r="H9" i="62"/>
  <c r="A86" i="62" s="1"/>
  <c r="H10" i="62"/>
  <c r="A110" i="62" s="1"/>
  <c r="H11" i="62"/>
  <c r="A122" i="62" s="1"/>
  <c r="H12" i="62"/>
  <c r="A132" i="62" s="1"/>
  <c r="H13" i="62"/>
  <c r="A146" i="62" s="1"/>
  <c r="H14" i="62"/>
  <c r="A158" i="62" s="1"/>
  <c r="H15" i="62"/>
  <c r="A180" i="62" s="1"/>
  <c r="H16" i="62"/>
  <c r="A192" i="62" s="1"/>
  <c r="H17" i="62"/>
  <c r="A206" i="62" s="1"/>
  <c r="H18" i="62"/>
  <c r="A217" i="62" s="1"/>
  <c r="H19" i="62"/>
  <c r="A228" i="62" s="1"/>
  <c r="H20" i="62"/>
  <c r="A241" i="62" s="1"/>
  <c r="H21" i="62"/>
  <c r="A254" i="62" s="1"/>
  <c r="H22" i="62"/>
  <c r="A278" i="62" s="1"/>
  <c r="H3" i="62"/>
  <c r="A14" i="62" s="1"/>
  <c r="A3" i="57"/>
  <c r="A4" i="57"/>
  <c r="A5" i="57"/>
  <c r="A6" i="57"/>
  <c r="A7" i="57"/>
  <c r="A8" i="57"/>
  <c r="A9" i="57"/>
  <c r="A10" i="57"/>
  <c r="A11" i="57"/>
  <c r="A12" i="57"/>
  <c r="A13" i="57"/>
  <c r="A14" i="57"/>
  <c r="A15" i="57"/>
  <c r="A16" i="57"/>
  <c r="A17" i="57"/>
  <c r="A18" i="57"/>
  <c r="A19" i="57"/>
  <c r="A20" i="57"/>
  <c r="A21" i="57"/>
  <c r="A22" i="57"/>
  <c r="A23" i="57"/>
  <c r="A24" i="57"/>
  <c r="A25" i="57"/>
  <c r="A26" i="57"/>
  <c r="A27" i="57"/>
  <c r="A28" i="57"/>
  <c r="A29" i="57"/>
  <c r="A30" i="57"/>
  <c r="A31" i="57"/>
  <c r="A32" i="57"/>
  <c r="A33" i="57"/>
  <c r="A34" i="57"/>
  <c r="A35" i="57"/>
  <c r="A2" i="57"/>
  <c r="I3" i="56"/>
  <c r="I4" i="56"/>
  <c r="I5" i="56"/>
  <c r="I6" i="56"/>
  <c r="I7" i="56"/>
  <c r="I8" i="56"/>
  <c r="I9" i="56"/>
  <c r="I10" i="56"/>
  <c r="I11" i="56"/>
  <c r="I12" i="56"/>
  <c r="I13" i="56"/>
  <c r="I14" i="56"/>
  <c r="I15" i="56"/>
  <c r="I16" i="56"/>
  <c r="I17" i="56"/>
  <c r="I18" i="56"/>
  <c r="I19" i="56"/>
  <c r="I20" i="56"/>
  <c r="I21" i="56"/>
  <c r="I2" i="56"/>
  <c r="I3" i="55"/>
  <c r="I4" i="55"/>
  <c r="I5" i="55"/>
  <c r="I6" i="55"/>
  <c r="I7" i="55"/>
  <c r="I8" i="55"/>
  <c r="I9" i="55"/>
  <c r="I10" i="55"/>
  <c r="I11" i="55"/>
  <c r="I12" i="55"/>
  <c r="I13" i="55"/>
  <c r="I14" i="55"/>
  <c r="I15" i="55"/>
  <c r="I16" i="55"/>
  <c r="I17" i="55"/>
  <c r="I18" i="55"/>
  <c r="I19" i="55"/>
  <c r="I20" i="55"/>
  <c r="I21" i="55"/>
  <c r="I2" i="55"/>
  <c r="I3" i="61"/>
  <c r="I4" i="61"/>
  <c r="I5" i="61"/>
  <c r="I6" i="61"/>
  <c r="I7" i="61"/>
  <c r="I8" i="61"/>
  <c r="I9" i="61"/>
  <c r="I10" i="61"/>
  <c r="I11" i="61"/>
  <c r="I12" i="61"/>
  <c r="I13" i="61"/>
  <c r="I14" i="61"/>
  <c r="I15" i="61"/>
  <c r="I16" i="61"/>
  <c r="I17" i="61"/>
  <c r="I18" i="61"/>
  <c r="I19" i="61"/>
  <c r="I20" i="61"/>
  <c r="I21" i="61"/>
  <c r="I2" i="61"/>
  <c r="I3" i="54"/>
  <c r="I4" i="54"/>
  <c r="I5" i="54"/>
  <c r="I6" i="54"/>
  <c r="I7" i="54"/>
  <c r="I8" i="54"/>
  <c r="I9" i="54"/>
  <c r="I10" i="54"/>
  <c r="I11" i="54"/>
  <c r="I12" i="54"/>
  <c r="I13" i="54"/>
  <c r="I14" i="54"/>
  <c r="I15" i="54"/>
  <c r="I16" i="54"/>
  <c r="I17" i="54"/>
  <c r="I18" i="54"/>
  <c r="I19" i="54"/>
  <c r="I20" i="54"/>
  <c r="I21" i="54"/>
  <c r="I2" i="54"/>
  <c r="D281" i="62" a="1"/>
  <c r="D25" i="62" a="1"/>
  <c r="D24" i="62" a="1"/>
  <c r="J23" i="50" a="1"/>
  <c r="J3" i="50" a="1"/>
  <c r="J9" i="50" a="1"/>
  <c r="J15" i="50" a="1"/>
  <c r="J21" i="50" a="1"/>
  <c r="J4" i="50" a="1"/>
  <c r="J10" i="50" a="1"/>
  <c r="J16" i="50" a="1"/>
  <c r="J22" i="50" a="1"/>
  <c r="J5" i="50" a="1"/>
  <c r="J11" i="50" a="1"/>
  <c r="J17" i="50" a="1"/>
  <c r="J6" i="50" a="1"/>
  <c r="J12" i="50" a="1"/>
  <c r="J18" i="50" a="1"/>
  <c r="J7" i="50" a="1"/>
  <c r="J13" i="50" a="1"/>
  <c r="J19" i="50" a="1"/>
  <c r="J20" i="50" a="1"/>
  <c r="J14" i="50" a="1"/>
  <c r="J8" i="50" a="1"/>
  <c r="J2" i="50" a="1"/>
  <c r="D3" i="65" a="1"/>
  <c r="D9" i="65" a="1"/>
  <c r="D15" i="65" a="1"/>
  <c r="D21" i="65" a="1"/>
  <c r="D27" i="65" a="1"/>
  <c r="D33" i="65" a="1"/>
  <c r="D39" i="65" a="1"/>
  <c r="D45" i="65" a="1"/>
  <c r="D51" i="65" a="1"/>
  <c r="D57" i="65" a="1"/>
  <c r="D63" i="65" a="1"/>
  <c r="D69" i="65" a="1"/>
  <c r="D75" i="65" a="1"/>
  <c r="D81" i="65" a="1"/>
  <c r="D87" i="65" a="1"/>
  <c r="D93" i="65" a="1"/>
  <c r="D99" i="65" a="1"/>
  <c r="D105" i="65" a="1"/>
  <c r="D111" i="65" a="1"/>
  <c r="D117" i="65" a="1"/>
  <c r="D123" i="65" a="1"/>
  <c r="D129" i="65" a="1"/>
  <c r="D135" i="65" a="1"/>
  <c r="D141" i="65" a="1"/>
  <c r="D147" i="65" a="1"/>
  <c r="D153" i="65" a="1"/>
  <c r="D159" i="65" a="1"/>
  <c r="D165" i="65" a="1"/>
  <c r="D171" i="65" a="1"/>
  <c r="D177" i="65" a="1"/>
  <c r="D183" i="65" a="1"/>
  <c r="D189" i="65" a="1"/>
  <c r="D195" i="65" a="1"/>
  <c r="D201" i="65" a="1"/>
  <c r="D207" i="65" a="1"/>
  <c r="D213" i="65" a="1"/>
  <c r="D219" i="65" a="1"/>
  <c r="D225" i="65" a="1"/>
  <c r="D231" i="65" a="1"/>
  <c r="D237" i="65" a="1"/>
  <c r="D243" i="65" a="1"/>
  <c r="D249" i="65" a="1"/>
  <c r="D255" i="65" a="1"/>
  <c r="D261" i="65" a="1"/>
  <c r="D267" i="65" a="1"/>
  <c r="D273" i="65" a="1"/>
  <c r="D279" i="65" a="1"/>
  <c r="D11" i="65" a="1"/>
  <c r="D47" i="65" a="1"/>
  <c r="D59" i="65" a="1"/>
  <c r="D71" i="65" a="1"/>
  <c r="D95" i="65" a="1"/>
  <c r="D113" i="65" a="1"/>
  <c r="D131" i="65" a="1"/>
  <c r="D155" i="65" a="1"/>
  <c r="D179" i="65" a="1"/>
  <c r="D203" i="65" a="1"/>
  <c r="D227" i="65" a="1"/>
  <c r="D251" i="65" a="1"/>
  <c r="D275" i="65" a="1"/>
  <c r="D132" i="65" a="1"/>
  <c r="D276" i="65" a="1"/>
  <c r="D242" i="65" a="1"/>
  <c r="D23" i="65" a="1"/>
  <c r="D83" i="65" a="1"/>
  <c r="D119" i="65" a="1"/>
  <c r="D143" i="65" a="1"/>
  <c r="D161" i="65" a="1"/>
  <c r="D191" i="65" a="1"/>
  <c r="D215" i="65" a="1"/>
  <c r="D239" i="65" a="1"/>
  <c r="D263" i="65" a="1"/>
  <c r="D150" i="65" a="1"/>
  <c r="D258" i="65" a="1"/>
  <c r="D254" i="65" a="1"/>
  <c r="D4" i="65" a="1"/>
  <c r="D10" i="65" a="1"/>
  <c r="D16" i="65" a="1"/>
  <c r="D22" i="65" a="1"/>
  <c r="D28" i="65" a="1"/>
  <c r="D34" i="65" a="1"/>
  <c r="D40" i="65" a="1"/>
  <c r="D46" i="65" a="1"/>
  <c r="D52" i="65" a="1"/>
  <c r="D58" i="65" a="1"/>
  <c r="D64" i="65" a="1"/>
  <c r="D70" i="65" a="1"/>
  <c r="D76" i="65" a="1"/>
  <c r="D82" i="65" a="1"/>
  <c r="D88" i="65" a="1"/>
  <c r="D94" i="65" a="1"/>
  <c r="D100" i="65" a="1"/>
  <c r="D106" i="65" a="1"/>
  <c r="D112" i="65" a="1"/>
  <c r="D118" i="65" a="1"/>
  <c r="D124" i="65" a="1"/>
  <c r="D130" i="65" a="1"/>
  <c r="D136" i="65" a="1"/>
  <c r="D142" i="65" a="1"/>
  <c r="D148" i="65" a="1"/>
  <c r="D154" i="65" a="1"/>
  <c r="D160" i="65" a="1"/>
  <c r="D166" i="65" a="1"/>
  <c r="D172" i="65" a="1"/>
  <c r="D178" i="65" a="1"/>
  <c r="D184" i="65" a="1"/>
  <c r="D190" i="65" a="1"/>
  <c r="D196" i="65" a="1"/>
  <c r="D202" i="65" a="1"/>
  <c r="D208" i="65" a="1"/>
  <c r="D214" i="65" a="1"/>
  <c r="D220" i="65" a="1"/>
  <c r="D226" i="65" a="1"/>
  <c r="D232" i="65" a="1"/>
  <c r="D238" i="65" a="1"/>
  <c r="D244" i="65" a="1"/>
  <c r="D250" i="65" a="1"/>
  <c r="D256" i="65" a="1"/>
  <c r="D262" i="65" a="1"/>
  <c r="D268" i="65" a="1"/>
  <c r="D274" i="65" a="1"/>
  <c r="D280" i="65" a="1"/>
  <c r="D29" i="65" a="1"/>
  <c r="D35" i="65" a="1"/>
  <c r="D41" i="65" a="1"/>
  <c r="D53" i="65" a="1"/>
  <c r="D65" i="65" a="1"/>
  <c r="D89" i="65" a="1"/>
  <c r="D101" i="65" a="1"/>
  <c r="D125" i="65" a="1"/>
  <c r="D149" i="65" a="1"/>
  <c r="D173" i="65" a="1"/>
  <c r="D185" i="65" a="1"/>
  <c r="D209" i="65" a="1"/>
  <c r="D233" i="65" a="1"/>
  <c r="D257" i="65" a="1"/>
  <c r="D281" i="65" a="1"/>
  <c r="D156" i="65" a="1"/>
  <c r="D252" i="65" a="1"/>
  <c r="D260" i="65" a="1"/>
  <c r="D17" i="65" a="1"/>
  <c r="D77" i="65" a="1"/>
  <c r="D107" i="65" a="1"/>
  <c r="D137" i="65" a="1"/>
  <c r="D167" i="65" a="1"/>
  <c r="D197" i="65" a="1"/>
  <c r="D221" i="65" a="1"/>
  <c r="D245" i="65" a="1"/>
  <c r="D269" i="65" a="1"/>
  <c r="D144" i="65" a="1"/>
  <c r="D270" i="65" a="1"/>
  <c r="D248" i="65" a="1"/>
  <c r="D5" i="65" a="1"/>
  <c r="D6" i="65" a="1"/>
  <c r="D12" i="65" a="1"/>
  <c r="D18" i="65" a="1"/>
  <c r="D24" i="65" a="1"/>
  <c r="D30" i="65" a="1"/>
  <c r="D36" i="65" a="1"/>
  <c r="D42" i="65" a="1"/>
  <c r="D48" i="65" a="1"/>
  <c r="D54" i="65" a="1"/>
  <c r="D60" i="65" a="1"/>
  <c r="D66" i="65" a="1"/>
  <c r="D72" i="65" a="1"/>
  <c r="D78" i="65" a="1"/>
  <c r="D84" i="65" a="1"/>
  <c r="D90" i="65" a="1"/>
  <c r="D96" i="65" a="1"/>
  <c r="D102" i="65" a="1"/>
  <c r="D108" i="65" a="1"/>
  <c r="D114" i="65" a="1"/>
  <c r="D120" i="65" a="1"/>
  <c r="D126" i="65" a="1"/>
  <c r="D138" i="65" a="1"/>
  <c r="D162" i="65" a="1"/>
  <c r="D168" i="65" a="1"/>
  <c r="D174" i="65" a="1"/>
  <c r="D180" i="65" a="1"/>
  <c r="D186" i="65" a="1"/>
  <c r="D192" i="65" a="1"/>
  <c r="D198" i="65" a="1"/>
  <c r="D204" i="65" a="1"/>
  <c r="D210" i="65" a="1"/>
  <c r="D216" i="65" a="1"/>
  <c r="D222" i="65" a="1"/>
  <c r="D228" i="65" a="1"/>
  <c r="D234" i="65" a="1"/>
  <c r="D240" i="65" a="1"/>
  <c r="D246" i="65" a="1"/>
  <c r="D264" i="65" a="1"/>
  <c r="D272" i="65" a="1"/>
  <c r="D7" i="65" a="1"/>
  <c r="D13" i="65" a="1"/>
  <c r="D19" i="65" a="1"/>
  <c r="D25" i="65" a="1"/>
  <c r="D31" i="65" a="1"/>
  <c r="D37" i="65" a="1"/>
  <c r="D43" i="65" a="1"/>
  <c r="D49" i="65" a="1"/>
  <c r="D55" i="65" a="1"/>
  <c r="D61" i="65" a="1"/>
  <c r="D67" i="65" a="1"/>
  <c r="D73" i="65" a="1"/>
  <c r="D79" i="65" a="1"/>
  <c r="D85" i="65" a="1"/>
  <c r="D91" i="65" a="1"/>
  <c r="D97" i="65" a="1"/>
  <c r="D103" i="65" a="1"/>
  <c r="D109" i="65" a="1"/>
  <c r="D115" i="65" a="1"/>
  <c r="D121" i="65" a="1"/>
  <c r="D127" i="65" a="1"/>
  <c r="D133" i="65" a="1"/>
  <c r="D139" i="65" a="1"/>
  <c r="D145" i="65" a="1"/>
  <c r="D151" i="65" a="1"/>
  <c r="D157" i="65" a="1"/>
  <c r="D163" i="65" a="1"/>
  <c r="D169" i="65" a="1"/>
  <c r="D175" i="65" a="1"/>
  <c r="D181" i="65" a="1"/>
  <c r="D187" i="65" a="1"/>
  <c r="D193" i="65" a="1"/>
  <c r="D199" i="65" a="1"/>
  <c r="D205" i="65" a="1"/>
  <c r="D211" i="65" a="1"/>
  <c r="D217" i="65" a="1"/>
  <c r="D223" i="65" a="1"/>
  <c r="D229" i="65" a="1"/>
  <c r="D235" i="65" a="1"/>
  <c r="D241" i="65" a="1"/>
  <c r="D247" i="65" a="1"/>
  <c r="D253" i="65" a="1"/>
  <c r="D259" i="65" a="1"/>
  <c r="D265" i="65" a="1"/>
  <c r="D271" i="65" a="1"/>
  <c r="D277" i="65" a="1"/>
  <c r="D266" i="65" a="1"/>
  <c r="D236" i="65" a="1"/>
  <c r="D8" i="65" a="1"/>
  <c r="D14" i="65" a="1"/>
  <c r="D20" i="65" a="1"/>
  <c r="D26" i="65" a="1"/>
  <c r="D32" i="65" a="1"/>
  <c r="D38" i="65" a="1"/>
  <c r="D44" i="65" a="1"/>
  <c r="D50" i="65" a="1"/>
  <c r="D56" i="65" a="1"/>
  <c r="D62" i="65" a="1"/>
  <c r="D68" i="65" a="1"/>
  <c r="D74" i="65" a="1"/>
  <c r="D80" i="65" a="1"/>
  <c r="D86" i="65" a="1"/>
  <c r="D92" i="65" a="1"/>
  <c r="D98" i="65" a="1"/>
  <c r="D104" i="65" a="1"/>
  <c r="D110" i="65" a="1"/>
  <c r="D116" i="65" a="1"/>
  <c r="D122" i="65" a="1"/>
  <c r="D128" i="65" a="1"/>
  <c r="D134" i="65" a="1"/>
  <c r="D140" i="65" a="1"/>
  <c r="D146" i="65" a="1"/>
  <c r="D152" i="65" a="1"/>
  <c r="D158" i="65" a="1"/>
  <c r="D164" i="65" a="1"/>
  <c r="D170" i="65" a="1"/>
  <c r="D176" i="65" a="1"/>
  <c r="D182" i="65" a="1"/>
  <c r="D188" i="65" a="1"/>
  <c r="D194" i="65" a="1"/>
  <c r="D200" i="65" a="1"/>
  <c r="D206" i="65" a="1"/>
  <c r="D212" i="65" a="1"/>
  <c r="D218" i="65" a="1"/>
  <c r="D224" i="65" a="1"/>
  <c r="D230" i="65" a="1"/>
  <c r="D278" i="65" a="1"/>
  <c r="J3" i="52" a="1"/>
  <c r="J9" i="52" a="1"/>
  <c r="J15" i="52" a="1"/>
  <c r="J11" i="52" a="1"/>
  <c r="J12" i="52" a="1"/>
  <c r="J4" i="52" a="1"/>
  <c r="J10" i="52" a="1"/>
  <c r="J5" i="52" a="1"/>
  <c r="J6" i="52" a="1"/>
  <c r="J7" i="52" a="1"/>
  <c r="J13" i="52" a="1"/>
  <c r="J8" i="52" a="1"/>
  <c r="J14" i="52" a="1"/>
  <c r="J2" i="52" a="1"/>
  <c r="F13" i="51" a="1"/>
  <c r="F4" i="51" a="1"/>
  <c r="F10" i="51" a="1"/>
  <c r="F5" i="51" a="1"/>
  <c r="F6" i="51" a="1"/>
  <c r="F7" i="51" a="1"/>
  <c r="F8" i="51" a="1"/>
  <c r="F3" i="51" a="1"/>
  <c r="F9" i="51" a="1"/>
  <c r="F2" i="51" a="1"/>
  <c r="F11" i="51" a="1"/>
  <c r="F15" i="51" a="1"/>
  <c r="F12" i="51" a="1"/>
  <c r="F14" i="51" a="1"/>
  <c r="D2" i="65" a="1"/>
  <c r="D57" i="62" a="1"/>
  <c r="D227" i="62" a="1"/>
  <c r="D14" i="62" a="1"/>
  <c r="D204" i="62" a="1"/>
  <c r="D170" i="62" a="1"/>
  <c r="D110" i="62" a="1"/>
  <c r="D35" i="62" a="1"/>
  <c r="D208" i="62" a="1"/>
  <c r="D128" i="62" a="1"/>
  <c r="D272" i="62" a="1"/>
  <c r="D153" i="62" a="1"/>
  <c r="D183" i="62" a="1"/>
  <c r="D228" i="62" a="1"/>
  <c r="D123" i="62" a="1"/>
  <c r="D155" i="62" a="1"/>
  <c r="D148" i="62" a="1"/>
  <c r="D151" i="62" a="1"/>
  <c r="D250" i="62" a="1"/>
  <c r="D184" i="62" a="1"/>
  <c r="D79" i="62" a="1"/>
  <c r="D200" i="62" a="1"/>
  <c r="D176" i="62" a="1"/>
  <c r="D38" i="62" a="1"/>
  <c r="D160" i="62" a="1"/>
  <c r="D179" i="62" a="1"/>
  <c r="D7" i="62" a="1"/>
  <c r="D158" i="62" a="1"/>
  <c r="D75" i="62" a="1"/>
  <c r="D235" i="62" a="1"/>
  <c r="D185" i="62" a="1"/>
  <c r="D107" i="62" a="1"/>
  <c r="D70" i="62" a="1"/>
  <c r="D112" i="62" a="1"/>
  <c r="D16" i="62" a="1"/>
  <c r="D111" i="62" a="1"/>
  <c r="D69" i="62" a="1"/>
  <c r="D135" i="62" a="1"/>
  <c r="D186" i="62" a="1"/>
  <c r="D223" i="62" a="1"/>
  <c r="D117" i="62" a="1"/>
  <c r="D20" i="62" a="1"/>
  <c r="D130" i="62" a="1"/>
  <c r="D162" i="62" a="1"/>
  <c r="D177" i="62" a="1"/>
  <c r="D262" i="62" a="1"/>
  <c r="D198" i="62" a="1"/>
  <c r="D64" i="62" a="1"/>
  <c r="D88" i="62" a="1"/>
  <c r="D86" i="62" a="1"/>
  <c r="D94" i="62" a="1"/>
  <c r="D265" i="62" a="1"/>
  <c r="D173" i="62" a="1"/>
  <c r="D63" i="62" a="1"/>
  <c r="D226" i="62" a="1"/>
  <c r="D118" i="62" a="1"/>
  <c r="D129" i="62" a="1"/>
  <c r="D92" i="62" a="1"/>
  <c r="D280" i="62" a="1"/>
  <c r="D98" i="62" a="1"/>
  <c r="D91" i="62" a="1"/>
  <c r="D231" i="62" a="1"/>
  <c r="D139" i="62" a="1"/>
  <c r="D97" i="62" a="1"/>
  <c r="D23" i="62" a="1"/>
  <c r="D238" i="62" a="1"/>
  <c r="D113" i="62" a="1"/>
  <c r="D68" i="62" a="1"/>
  <c r="D241" i="62" a="1"/>
  <c r="D126" i="62" a="1"/>
  <c r="D224" i="62" a="1"/>
  <c r="D248" i="62" a="1"/>
  <c r="D133" i="62" a="1"/>
  <c r="D207" i="62" a="1"/>
  <c r="D83" i="62" a="1"/>
  <c r="D233" i="62" a="1"/>
  <c r="D102" i="62" a="1"/>
  <c r="D156" i="62" a="1"/>
  <c r="D229" i="62" a="1"/>
  <c r="D61" i="62" a="1"/>
  <c r="D134" i="62" a="1"/>
  <c r="D34" i="62" a="1"/>
  <c r="D55" i="62" a="1"/>
  <c r="D275" i="62" a="1"/>
  <c r="D66" i="62" a="1"/>
  <c r="D175" i="62" a="1"/>
  <c r="D67" i="62" a="1"/>
  <c r="D116" i="62" a="1"/>
  <c r="D137" i="62" a="1"/>
  <c r="D90" i="62" a="1"/>
  <c r="D164" i="62" a="1"/>
  <c r="D104" i="62" a="1"/>
  <c r="D144" i="62" a="1"/>
  <c r="D269" i="62" a="1"/>
  <c r="D58" i="62" a="1"/>
  <c r="D81" i="62" a="1"/>
  <c r="D188" i="62" a="1"/>
  <c r="D6" i="62" a="1"/>
  <c r="D39" i="62" a="1"/>
  <c r="D4" i="62" a="1"/>
  <c r="D44" i="62" a="1"/>
  <c r="D51" i="62" a="1"/>
  <c r="D201" i="62" a="1"/>
  <c r="D214" i="62" a="1"/>
  <c r="D3" i="62" a="1"/>
  <c r="D203" i="62" a="1"/>
  <c r="D206" i="62" a="1"/>
  <c r="D62" i="62" a="1"/>
  <c r="D33" i="62" a="1"/>
  <c r="D9" i="62" a="1"/>
  <c r="D53" i="62" a="1"/>
  <c r="D167" i="62" a="1"/>
  <c r="D182" i="62" a="1"/>
  <c r="D142" i="62" a="1"/>
  <c r="D87" i="62" a="1"/>
  <c r="D263" i="62" a="1"/>
  <c r="D261" i="62" a="1"/>
  <c r="D84" i="62" a="1"/>
  <c r="D12" i="62" a="1"/>
  <c r="D247" i="62" a="1"/>
  <c r="D85" i="62" a="1"/>
  <c r="D195" i="62" a="1"/>
  <c r="D181" i="62" a="1"/>
  <c r="D259" i="62" a="1"/>
  <c r="D109" i="62" a="1"/>
  <c r="D74" i="62" a="1"/>
  <c r="D172" i="62" a="1"/>
  <c r="D131" i="62" a="1"/>
  <c r="D80" i="62" a="1"/>
  <c r="D279" i="62" a="1"/>
  <c r="D30" i="62" a="1"/>
  <c r="D36" i="62" a="1"/>
  <c r="D219" i="62" a="1"/>
  <c r="D29" i="62" a="1"/>
  <c r="D2" i="62" a="1"/>
  <c r="D246" i="62" a="1"/>
  <c r="D22" i="62" a="1"/>
  <c r="D89" i="62" a="1"/>
  <c r="D218" i="62" a="1"/>
  <c r="D168" i="62" a="1"/>
  <c r="D169" i="62" a="1"/>
  <c r="D106" i="62" a="1"/>
  <c r="D187" i="62" a="1"/>
  <c r="D99" i="62" a="1"/>
  <c r="D8" i="62" a="1"/>
  <c r="D76" i="62" a="1"/>
  <c r="D249" i="62" a="1"/>
  <c r="D245" i="62" a="1"/>
  <c r="D73" i="62" a="1"/>
  <c r="D124" i="62" a="1"/>
  <c r="D225" i="62" a="1"/>
  <c r="D273" i="62" a="1"/>
  <c r="D13" i="62" a="1"/>
  <c r="D145" i="62" a="1"/>
  <c r="D258" i="62" a="1"/>
  <c r="D236" i="62" a="1"/>
  <c r="D150" i="62" a="1"/>
  <c r="D41" i="62" a="1"/>
  <c r="D121" i="62" a="1"/>
  <c r="D119" i="62" a="1"/>
  <c r="D19" i="62" a="1"/>
  <c r="D205" i="62" a="1"/>
  <c r="D37" i="62" a="1"/>
  <c r="D276" i="62" a="1"/>
  <c r="D165" i="62" a="1"/>
  <c r="D65" i="62" a="1"/>
  <c r="D60" i="62" a="1"/>
  <c r="D28" i="62" a="1"/>
  <c r="D194" i="62" a="1"/>
  <c r="D220" i="62" a="1"/>
  <c r="D95" i="62" a="1"/>
  <c r="D149" i="62" a="1"/>
  <c r="D274" i="62" a="1"/>
  <c r="D255" i="62" a="1"/>
  <c r="D146" i="62" a="1"/>
  <c r="D138" i="62" a="1"/>
  <c r="D48" i="62" a="1"/>
  <c r="D240" i="62" a="1"/>
  <c r="D105" i="62" a="1"/>
  <c r="D215" i="62" a="1"/>
  <c r="D59" i="62" a="1"/>
  <c r="D252" i="62" a="1"/>
  <c r="D163" i="62" a="1"/>
  <c r="D268" i="62" a="1"/>
  <c r="D171" i="62" a="1"/>
  <c r="D132" i="62" a="1"/>
  <c r="D108" i="62" a="1"/>
  <c r="D196" i="62" a="1"/>
  <c r="D260" i="62" a="1"/>
  <c r="D71" i="62" a="1"/>
  <c r="D230" i="62" a="1"/>
  <c r="D5" i="62" a="1"/>
  <c r="D140" i="62" a="1"/>
  <c r="D27" i="62" a="1"/>
  <c r="D17" i="62" a="1"/>
  <c r="D232" i="62" a="1"/>
  <c r="D209" i="62" a="1"/>
  <c r="D256" i="62" a="1"/>
  <c r="D254" i="62" a="1"/>
  <c r="D189" i="62" a="1"/>
  <c r="D100" i="62" a="1"/>
  <c r="D40" i="62" a="1"/>
  <c r="D46" i="62" a="1"/>
  <c r="D15" i="62" a="1"/>
  <c r="D159" i="62" a="1"/>
  <c r="D143" i="62" a="1"/>
  <c r="D237" i="62" a="1"/>
  <c r="D166" i="62" a="1"/>
  <c r="D42" i="62" a="1"/>
  <c r="D45" i="62" a="1"/>
  <c r="D32" i="62" a="1"/>
  <c r="D54" i="62" a="1"/>
  <c r="D239" i="62" a="1"/>
  <c r="D101" i="62" a="1"/>
  <c r="D26" i="62" a="1"/>
  <c r="D120" i="62" a="1"/>
  <c r="D141" i="62" a="1"/>
  <c r="D11" i="62" a="1"/>
  <c r="D191" i="62" a="1"/>
  <c r="D217" i="62" a="1"/>
  <c r="D264" i="62" a="1"/>
  <c r="D43" i="62" a="1"/>
  <c r="D114" i="62" a="1"/>
  <c r="D178" i="62" a="1"/>
  <c r="D47" i="62" a="1"/>
  <c r="D157" i="62" a="1"/>
  <c r="D242" i="62" a="1"/>
  <c r="D197" i="62" a="1"/>
  <c r="D93" i="62" a="1"/>
  <c r="D253" i="62" a="1"/>
  <c r="D18" i="62" a="1"/>
  <c r="D234" i="62" a="1"/>
  <c r="D56" i="62" a="1"/>
  <c r="D267" i="62" a="1"/>
  <c r="D199" i="62" a="1"/>
  <c r="D147" i="62" a="1"/>
  <c r="D154" i="62" a="1"/>
  <c r="D10" i="62" a="1"/>
  <c r="D77" i="62" a="1"/>
  <c r="D21" i="62" a="1"/>
  <c r="D257" i="62" a="1"/>
  <c r="D82" i="62" a="1"/>
  <c r="D202" i="62" a="1"/>
  <c r="D136" i="62" a="1"/>
  <c r="D152" i="62" a="1"/>
  <c r="D161" i="62" a="1"/>
  <c r="D210" i="62" a="1"/>
  <c r="D213" i="62" a="1"/>
  <c r="D174" i="62" a="1"/>
  <c r="D243" i="62" a="1"/>
  <c r="D222" i="62" a="1"/>
  <c r="D212" i="62" a="1"/>
  <c r="D103" i="62" a="1"/>
  <c r="D221" i="62" a="1"/>
  <c r="D270" i="62" a="1"/>
  <c r="D125" i="62" a="1"/>
  <c r="D192" i="62" a="1"/>
  <c r="D193" i="62" a="1"/>
  <c r="D49" i="62" a="1"/>
  <c r="D115" i="62" a="1"/>
  <c r="D122" i="62" a="1"/>
  <c r="D278" i="62" a="1"/>
  <c r="D211" i="62" a="1"/>
  <c r="D31" i="62" a="1"/>
  <c r="D78" i="62" a="1"/>
  <c r="D216" i="62" a="1"/>
  <c r="D244" i="62" a="1"/>
  <c r="D72" i="62" a="1"/>
  <c r="D277" i="62" a="1"/>
  <c r="D96" i="62" a="1"/>
  <c r="D271" i="62" a="1"/>
  <c r="D180" i="62" a="1"/>
  <c r="D251" i="62" a="1"/>
  <c r="D266" i="62" a="1"/>
  <c r="D52" i="62" a="1"/>
  <c r="D127" i="62" a="1"/>
  <c r="D190" i="62" a="1"/>
  <c r="D50" i="62" a="1"/>
  <c r="D211" i="62" l="1"/>
  <c r="D210" i="62"/>
  <c r="D265" i="62"/>
  <c r="D252" i="62"/>
  <c r="D193" i="62"/>
  <c r="D180" i="62"/>
  <c r="D121" i="62"/>
  <c r="D108" i="62"/>
  <c r="D49" i="62"/>
  <c r="D36" i="62"/>
  <c r="D139" i="62"/>
  <c r="D19" i="62"/>
  <c r="D198" i="62"/>
  <c r="D96" i="62"/>
  <c r="D151" i="62"/>
  <c r="D264" i="62"/>
  <c r="D205" i="62"/>
  <c r="D192" i="62"/>
  <c r="D133" i="62"/>
  <c r="D120" i="62"/>
  <c r="D61" i="62"/>
  <c r="D48" i="62"/>
  <c r="D235" i="62"/>
  <c r="D150" i="62"/>
  <c r="D276" i="62"/>
  <c r="D247" i="62"/>
  <c r="D234" i="62"/>
  <c r="D175" i="62"/>
  <c r="D162" i="62"/>
  <c r="D103" i="62"/>
  <c r="D90" i="62"/>
  <c r="D31" i="62"/>
  <c r="D18" i="62"/>
  <c r="D181" i="62"/>
  <c r="D109" i="62"/>
  <c r="D138" i="62"/>
  <c r="D277" i="62"/>
  <c r="D163" i="62"/>
  <c r="D91" i="62"/>
  <c r="D217" i="62"/>
  <c r="D204" i="62"/>
  <c r="D145" i="62"/>
  <c r="D132" i="62"/>
  <c r="D73" i="62"/>
  <c r="D60" i="62"/>
  <c r="D126" i="62"/>
  <c r="D24" i="62"/>
  <c r="D79" i="62"/>
  <c r="D259" i="62"/>
  <c r="D246" i="62"/>
  <c r="D187" i="62"/>
  <c r="D174" i="62"/>
  <c r="D115" i="62"/>
  <c r="D102" i="62"/>
  <c r="D43" i="62"/>
  <c r="D30" i="62"/>
  <c r="D67" i="62"/>
  <c r="D78" i="62"/>
  <c r="D271" i="62"/>
  <c r="D229" i="62"/>
  <c r="D216" i="62"/>
  <c r="D157" i="62"/>
  <c r="D144" i="62"/>
  <c r="D85" i="62"/>
  <c r="D72" i="62"/>
  <c r="D13" i="62"/>
  <c r="D54" i="62"/>
  <c r="D253" i="62"/>
  <c r="D168" i="62"/>
  <c r="D66" i="62"/>
  <c r="D258" i="62"/>
  <c r="D199" i="62"/>
  <c r="D186" i="62"/>
  <c r="D127" i="62"/>
  <c r="D114" i="62"/>
  <c r="D55" i="62"/>
  <c r="D42" i="62"/>
  <c r="D240" i="62"/>
  <c r="D37" i="62"/>
  <c r="D223" i="62"/>
  <c r="D222" i="62"/>
  <c r="D270" i="62"/>
  <c r="D241" i="62"/>
  <c r="D228" i="62"/>
  <c r="D169" i="62"/>
  <c r="D156" i="62"/>
  <c r="D97" i="62"/>
  <c r="D84" i="62"/>
  <c r="D25" i="62"/>
  <c r="D12" i="62"/>
  <c r="D278" i="62"/>
  <c r="D272" i="62"/>
  <c r="D266" i="62"/>
  <c r="D260" i="62"/>
  <c r="D254" i="62"/>
  <c r="D248" i="62"/>
  <c r="D242" i="62"/>
  <c r="D236" i="62"/>
  <c r="D230" i="62"/>
  <c r="D224" i="62"/>
  <c r="D218" i="62"/>
  <c r="D212" i="62"/>
  <c r="D206" i="62"/>
  <c r="D200" i="62"/>
  <c r="D194" i="62"/>
  <c r="D188" i="62"/>
  <c r="D182" i="62"/>
  <c r="D176" i="62"/>
  <c r="D170" i="62"/>
  <c r="D164" i="62"/>
  <c r="D158" i="62"/>
  <c r="D152" i="62"/>
  <c r="D146" i="62"/>
  <c r="D140" i="62"/>
  <c r="D134" i="62"/>
  <c r="D128" i="62"/>
  <c r="D122" i="62"/>
  <c r="D116" i="62"/>
  <c r="D110" i="62"/>
  <c r="D104" i="62"/>
  <c r="D98" i="62"/>
  <c r="D92" i="62"/>
  <c r="D86" i="62"/>
  <c r="D80" i="62"/>
  <c r="D74" i="62"/>
  <c r="D68" i="62"/>
  <c r="D62" i="62"/>
  <c r="D56" i="62"/>
  <c r="D50" i="62"/>
  <c r="D44" i="62"/>
  <c r="D38" i="62"/>
  <c r="D32" i="62"/>
  <c r="D26" i="62"/>
  <c r="D20" i="62"/>
  <c r="D14" i="62"/>
  <c r="D8" i="62"/>
  <c r="D7" i="62"/>
  <c r="D6" i="62"/>
  <c r="D5" i="62"/>
  <c r="D269" i="62"/>
  <c r="D251" i="62"/>
  <c r="D233" i="62"/>
  <c r="D215" i="62"/>
  <c r="D197" i="62"/>
  <c r="D179" i="62"/>
  <c r="D161" i="62"/>
  <c r="D143" i="62"/>
  <c r="D125" i="62"/>
  <c r="D107" i="62"/>
  <c r="D89" i="62"/>
  <c r="D77" i="62"/>
  <c r="D59" i="62"/>
  <c r="D47" i="62"/>
  <c r="D35" i="62"/>
  <c r="D17" i="62"/>
  <c r="D280" i="62"/>
  <c r="D274" i="62"/>
  <c r="D268" i="62"/>
  <c r="D262" i="62"/>
  <c r="D256" i="62"/>
  <c r="D250" i="62"/>
  <c r="D244" i="62"/>
  <c r="D238" i="62"/>
  <c r="D232" i="62"/>
  <c r="D226" i="62"/>
  <c r="D220" i="62"/>
  <c r="D214" i="62"/>
  <c r="D208" i="62"/>
  <c r="D202" i="62"/>
  <c r="D196" i="62"/>
  <c r="D190" i="62"/>
  <c r="D184" i="62"/>
  <c r="D178" i="62"/>
  <c r="D172" i="62"/>
  <c r="D166" i="62"/>
  <c r="D160" i="62"/>
  <c r="D154" i="62"/>
  <c r="D148" i="62"/>
  <c r="D142" i="62"/>
  <c r="D136" i="62"/>
  <c r="D130" i="62"/>
  <c r="D124" i="62"/>
  <c r="D118" i="62"/>
  <c r="D112" i="62"/>
  <c r="D106" i="62"/>
  <c r="D100" i="62"/>
  <c r="D94" i="62"/>
  <c r="D88" i="62"/>
  <c r="D82" i="62"/>
  <c r="D76" i="62"/>
  <c r="D70" i="62"/>
  <c r="D64" i="62"/>
  <c r="D58" i="62"/>
  <c r="D52" i="62"/>
  <c r="D46" i="62"/>
  <c r="D40" i="62"/>
  <c r="D34" i="62"/>
  <c r="D28" i="62"/>
  <c r="D22" i="62"/>
  <c r="D16" i="62"/>
  <c r="D10" i="62"/>
  <c r="D4" i="62"/>
  <c r="D281" i="62"/>
  <c r="D263" i="62"/>
  <c r="D245" i="62"/>
  <c r="D227" i="62"/>
  <c r="D209" i="62"/>
  <c r="D191" i="62"/>
  <c r="D173" i="62"/>
  <c r="D155" i="62"/>
  <c r="D137" i="62"/>
  <c r="D119" i="62"/>
  <c r="D95" i="62"/>
  <c r="D65" i="62"/>
  <c r="D23" i="62"/>
  <c r="D275" i="62"/>
  <c r="D257" i="62"/>
  <c r="D239" i="62"/>
  <c r="D221" i="62"/>
  <c r="D203" i="62"/>
  <c r="D185" i="62"/>
  <c r="D167" i="62"/>
  <c r="D149" i="62"/>
  <c r="D131" i="62"/>
  <c r="D113" i="62"/>
  <c r="D101" i="62"/>
  <c r="D83" i="62"/>
  <c r="D71" i="62"/>
  <c r="D53" i="62"/>
  <c r="D41" i="62"/>
  <c r="D29" i="62"/>
  <c r="D11" i="62"/>
  <c r="D279" i="62"/>
  <c r="D273" i="62"/>
  <c r="D267" i="62"/>
  <c r="D261" i="62"/>
  <c r="D255" i="62"/>
  <c r="D249" i="62"/>
  <c r="D243" i="62"/>
  <c r="D237" i="62"/>
  <c r="D231" i="62"/>
  <c r="D225" i="62"/>
  <c r="D219" i="62"/>
  <c r="D213" i="62"/>
  <c r="D207" i="62"/>
  <c r="D201" i="62"/>
  <c r="D195" i="62"/>
  <c r="D189" i="62"/>
  <c r="D183" i="62"/>
  <c r="D177" i="62"/>
  <c r="D171" i="62"/>
  <c r="D165" i="62"/>
  <c r="D159" i="62"/>
  <c r="D153" i="62"/>
  <c r="D147" i="62"/>
  <c r="D141" i="62"/>
  <c r="D135" i="62"/>
  <c r="D129" i="62"/>
  <c r="D123" i="62"/>
  <c r="D117" i="62"/>
  <c r="D111" i="62"/>
  <c r="D105" i="62"/>
  <c r="D99" i="62"/>
  <c r="D93" i="62"/>
  <c r="D87" i="62"/>
  <c r="D81" i="62"/>
  <c r="D75" i="62"/>
  <c r="D69" i="62"/>
  <c r="D63" i="62"/>
  <c r="D57" i="62"/>
  <c r="D51" i="62"/>
  <c r="D45" i="62"/>
  <c r="D39" i="62"/>
  <c r="D33" i="62"/>
  <c r="D27" i="62"/>
  <c r="D21" i="62"/>
  <c r="D15" i="62"/>
  <c r="D9" i="62"/>
  <c r="D3" i="62"/>
  <c r="D2" i="62"/>
  <c r="J23" i="50"/>
  <c r="A2" i="62"/>
  <c r="J8" i="50"/>
  <c r="J14" i="50"/>
  <c r="J20" i="50"/>
  <c r="J19" i="50"/>
  <c r="J13" i="50"/>
  <c r="J7" i="50"/>
  <c r="J18" i="50"/>
  <c r="J12" i="50"/>
  <c r="J6" i="50"/>
  <c r="J17" i="50"/>
  <c r="J11" i="50"/>
  <c r="J5" i="50"/>
  <c r="J22" i="50"/>
  <c r="J16" i="50"/>
  <c r="J10" i="50"/>
  <c r="J4" i="50"/>
  <c r="J21" i="50"/>
  <c r="J15" i="50"/>
  <c r="J9" i="50"/>
  <c r="J3" i="50"/>
  <c r="J2" i="50"/>
  <c r="A3" i="62"/>
  <c r="D278" i="65"/>
  <c r="D230" i="65"/>
  <c r="D224" i="65"/>
  <c r="D218" i="65"/>
  <c r="D212" i="65"/>
  <c r="D206" i="65"/>
  <c r="D200" i="65"/>
  <c r="D194" i="65"/>
  <c r="D188" i="65"/>
  <c r="D182" i="65"/>
  <c r="D176" i="65"/>
  <c r="D170" i="65"/>
  <c r="D164" i="65"/>
  <c r="D158" i="65"/>
  <c r="D152" i="65"/>
  <c r="D146" i="65"/>
  <c r="D140" i="65"/>
  <c r="D134" i="65"/>
  <c r="D128" i="65"/>
  <c r="D122" i="65"/>
  <c r="D116" i="65"/>
  <c r="D110" i="65"/>
  <c r="D104" i="65"/>
  <c r="D98" i="65"/>
  <c r="D92" i="65"/>
  <c r="D86" i="65"/>
  <c r="D80" i="65"/>
  <c r="D74" i="65"/>
  <c r="D68" i="65"/>
  <c r="D62" i="65"/>
  <c r="D56" i="65"/>
  <c r="D50" i="65"/>
  <c r="D44" i="65"/>
  <c r="D38" i="65"/>
  <c r="D32" i="65"/>
  <c r="D26" i="65"/>
  <c r="D20" i="65"/>
  <c r="D14" i="65"/>
  <c r="D8" i="65"/>
  <c r="D236" i="65"/>
  <c r="D266" i="65"/>
  <c r="D277" i="65"/>
  <c r="D271" i="65"/>
  <c r="D265" i="65"/>
  <c r="D259" i="65"/>
  <c r="D253" i="65"/>
  <c r="D247" i="65"/>
  <c r="D241" i="65"/>
  <c r="D235" i="65"/>
  <c r="D229" i="65"/>
  <c r="D223" i="65"/>
  <c r="D217" i="65"/>
  <c r="D211" i="65"/>
  <c r="D205" i="65"/>
  <c r="D199" i="65"/>
  <c r="D193" i="65"/>
  <c r="D187" i="65"/>
  <c r="D181" i="65"/>
  <c r="D175" i="65"/>
  <c r="D169" i="65"/>
  <c r="D163" i="65"/>
  <c r="D157" i="65"/>
  <c r="D151" i="65"/>
  <c r="D145" i="65"/>
  <c r="D139" i="65"/>
  <c r="D133" i="65"/>
  <c r="D127" i="65"/>
  <c r="D121" i="65"/>
  <c r="D115" i="65"/>
  <c r="D109" i="65"/>
  <c r="D103" i="65"/>
  <c r="D97" i="65"/>
  <c r="D91" i="65"/>
  <c r="D85" i="65"/>
  <c r="D79" i="65"/>
  <c r="D73" i="65"/>
  <c r="D67" i="65"/>
  <c r="D61" i="65"/>
  <c r="D55" i="65"/>
  <c r="D49" i="65"/>
  <c r="D43" i="65"/>
  <c r="D37" i="65"/>
  <c r="D31" i="65"/>
  <c r="D25" i="65"/>
  <c r="D19" i="65"/>
  <c r="D13" i="65"/>
  <c r="D7" i="65"/>
  <c r="D272" i="65"/>
  <c r="D264" i="65"/>
  <c r="D246" i="65"/>
  <c r="D240" i="65"/>
  <c r="D234" i="65"/>
  <c r="D228" i="65"/>
  <c r="D222" i="65"/>
  <c r="D216" i="65"/>
  <c r="D210" i="65"/>
  <c r="D204" i="65"/>
  <c r="D198" i="65"/>
  <c r="D192" i="65"/>
  <c r="D186" i="65"/>
  <c r="D180" i="65"/>
  <c r="D174" i="65"/>
  <c r="D168" i="65"/>
  <c r="D162" i="65"/>
  <c r="D138" i="65"/>
  <c r="D126" i="65"/>
  <c r="D120" i="65"/>
  <c r="D114" i="65"/>
  <c r="D108" i="65"/>
  <c r="D102" i="65"/>
  <c r="D96" i="65"/>
  <c r="D90" i="65"/>
  <c r="D84" i="65"/>
  <c r="D78" i="65"/>
  <c r="D72" i="65"/>
  <c r="D66" i="65"/>
  <c r="D60" i="65"/>
  <c r="D54" i="65"/>
  <c r="D48" i="65"/>
  <c r="D42" i="65"/>
  <c r="D36" i="65"/>
  <c r="D30" i="65"/>
  <c r="D24" i="65"/>
  <c r="D18" i="65"/>
  <c r="D12" i="65"/>
  <c r="D6" i="65"/>
  <c r="D5" i="65"/>
  <c r="D248" i="65"/>
  <c r="D270" i="65"/>
  <c r="D144" i="65"/>
  <c r="D269" i="65"/>
  <c r="D245" i="65"/>
  <c r="D221" i="65"/>
  <c r="D197" i="65"/>
  <c r="D167" i="65"/>
  <c r="D137" i="65"/>
  <c r="D107" i="65"/>
  <c r="D77" i="65"/>
  <c r="D17" i="65"/>
  <c r="D260" i="65"/>
  <c r="D252" i="65"/>
  <c r="D156" i="65"/>
  <c r="D281" i="65"/>
  <c r="D257" i="65"/>
  <c r="D233" i="65"/>
  <c r="D209" i="65"/>
  <c r="D185" i="65"/>
  <c r="D173" i="65"/>
  <c r="D149" i="65"/>
  <c r="D125" i="65"/>
  <c r="D101" i="65"/>
  <c r="D89" i="65"/>
  <c r="D65" i="65"/>
  <c r="D53" i="65"/>
  <c r="D41" i="65"/>
  <c r="D35" i="65"/>
  <c r="D29" i="65"/>
  <c r="D280" i="65"/>
  <c r="D274" i="65"/>
  <c r="D268" i="65"/>
  <c r="D262" i="65"/>
  <c r="D256" i="65"/>
  <c r="D250" i="65"/>
  <c r="D244" i="65"/>
  <c r="D238" i="65"/>
  <c r="D232" i="65"/>
  <c r="D226" i="65"/>
  <c r="D220" i="65"/>
  <c r="D214" i="65"/>
  <c r="D208" i="65"/>
  <c r="D202" i="65"/>
  <c r="D196" i="65"/>
  <c r="D190" i="65"/>
  <c r="D184" i="65"/>
  <c r="D178" i="65"/>
  <c r="D172" i="65"/>
  <c r="D166" i="65"/>
  <c r="D160" i="65"/>
  <c r="D154" i="65"/>
  <c r="D148" i="65"/>
  <c r="D142" i="65"/>
  <c r="D136" i="65"/>
  <c r="D130" i="65"/>
  <c r="D124" i="65"/>
  <c r="D118" i="65"/>
  <c r="D112" i="65"/>
  <c r="D106" i="65"/>
  <c r="D100" i="65"/>
  <c r="D94" i="65"/>
  <c r="D88" i="65"/>
  <c r="D82" i="65"/>
  <c r="D76" i="65"/>
  <c r="D70" i="65"/>
  <c r="D64" i="65"/>
  <c r="D58" i="65"/>
  <c r="D52" i="65"/>
  <c r="D46" i="65"/>
  <c r="D40" i="65"/>
  <c r="D34" i="65"/>
  <c r="D28" i="65"/>
  <c r="D22" i="65"/>
  <c r="D16" i="65"/>
  <c r="D10" i="65"/>
  <c r="D4" i="65"/>
  <c r="D254" i="65"/>
  <c r="D258" i="65"/>
  <c r="D150" i="65"/>
  <c r="D263" i="65"/>
  <c r="D239" i="65"/>
  <c r="D215" i="65"/>
  <c r="D191" i="65"/>
  <c r="D161" i="65"/>
  <c r="D143" i="65"/>
  <c r="D119" i="65"/>
  <c r="D83" i="65"/>
  <c r="D23" i="65"/>
  <c r="D242" i="65"/>
  <c r="D276" i="65"/>
  <c r="D132" i="65"/>
  <c r="D275" i="65"/>
  <c r="D251" i="65"/>
  <c r="D227" i="65"/>
  <c r="D203" i="65"/>
  <c r="D179" i="65"/>
  <c r="D155" i="65"/>
  <c r="D131" i="65"/>
  <c r="D113" i="65"/>
  <c r="D95" i="65"/>
  <c r="D71" i="65"/>
  <c r="D59" i="65"/>
  <c r="D47" i="65"/>
  <c r="D11" i="65"/>
  <c r="D279" i="65"/>
  <c r="D273" i="65"/>
  <c r="D267" i="65"/>
  <c r="D261" i="65"/>
  <c r="D255" i="65"/>
  <c r="D249" i="65"/>
  <c r="D243" i="65"/>
  <c r="D237" i="65"/>
  <c r="D231" i="65"/>
  <c r="D225" i="65"/>
  <c r="D219" i="65"/>
  <c r="D213" i="65"/>
  <c r="D207" i="65"/>
  <c r="D201" i="65"/>
  <c r="D195" i="65"/>
  <c r="D189" i="65"/>
  <c r="D183" i="65"/>
  <c r="D177" i="65"/>
  <c r="D171" i="65"/>
  <c r="D165" i="65"/>
  <c r="D159" i="65"/>
  <c r="D153" i="65"/>
  <c r="D147" i="65"/>
  <c r="D141" i="65"/>
  <c r="D135" i="65"/>
  <c r="D129" i="65"/>
  <c r="D123" i="65"/>
  <c r="D117" i="65"/>
  <c r="D111" i="65"/>
  <c r="D105" i="65"/>
  <c r="D99" i="65"/>
  <c r="D93" i="65"/>
  <c r="D87" i="65"/>
  <c r="D81" i="65"/>
  <c r="D75" i="65"/>
  <c r="D69" i="65"/>
  <c r="D63" i="65"/>
  <c r="D57" i="65"/>
  <c r="D51" i="65"/>
  <c r="D45" i="65"/>
  <c r="D39" i="65"/>
  <c r="D33" i="65"/>
  <c r="D27" i="65"/>
  <c r="D21" i="65"/>
  <c r="D15" i="65"/>
  <c r="D9" i="65"/>
  <c r="D3" i="65"/>
  <c r="D2" i="65"/>
  <c r="J14" i="52"/>
  <c r="J8" i="52"/>
  <c r="J13" i="52"/>
  <c r="J7" i="52"/>
  <c r="J6" i="52"/>
  <c r="J5" i="52"/>
  <c r="J10" i="52"/>
  <c r="J4" i="52"/>
  <c r="J12" i="52"/>
  <c r="J11" i="52"/>
  <c r="J15" i="52"/>
  <c r="J9" i="52"/>
  <c r="J3" i="52"/>
  <c r="J2" i="52"/>
  <c r="F11" i="51"/>
  <c r="F8" i="51"/>
  <c r="F7" i="51"/>
  <c r="F6" i="51"/>
  <c r="F5" i="51"/>
  <c r="F10" i="51"/>
  <c r="F4" i="51"/>
  <c r="F13" i="51"/>
  <c r="F14" i="51"/>
  <c r="F12" i="51"/>
  <c r="F15" i="51"/>
  <c r="F9" i="51"/>
  <c r="F3" i="51"/>
  <c r="F2" i="51"/>
  <c r="B205" i="62"/>
  <c r="B24" i="62"/>
  <c r="B251" i="62"/>
  <c r="B23" i="62"/>
  <c r="B35" i="62"/>
  <c r="B177" i="62"/>
  <c r="B176" i="62"/>
  <c r="B167" i="62"/>
  <c r="B121" i="62"/>
  <c r="B120" i="62"/>
  <c r="B107" i="62"/>
  <c r="B108" i="62"/>
  <c r="B83" i="62"/>
  <c r="B262" i="62"/>
  <c r="B80" i="62"/>
  <c r="B261" i="62"/>
  <c r="B79" i="62"/>
  <c r="B260" i="62"/>
  <c r="B119" i="62"/>
  <c r="B118" i="62"/>
  <c r="B273" i="62"/>
  <c r="B218" i="62"/>
  <c r="B188" i="62"/>
  <c r="B133" i="62"/>
  <c r="B95" i="62"/>
  <c r="B48" i="62"/>
  <c r="B8" i="62"/>
  <c r="B272" i="62"/>
  <c r="B217" i="62"/>
  <c r="B179" i="62"/>
  <c r="B132" i="62"/>
  <c r="B94" i="62"/>
  <c r="B47" i="62"/>
  <c r="B7" i="62"/>
  <c r="B263" i="62"/>
  <c r="B216" i="62"/>
  <c r="B178" i="62"/>
  <c r="B131" i="62"/>
  <c r="B93" i="62"/>
  <c r="B37" i="62"/>
  <c r="B6" i="62"/>
  <c r="B215" i="62"/>
  <c r="B92" i="62"/>
  <c r="B36" i="62"/>
  <c r="B34" i="62"/>
  <c r="B175" i="62"/>
  <c r="B22" i="62"/>
  <c r="B204" i="62"/>
  <c r="B203" i="62"/>
  <c r="B276" i="62"/>
  <c r="B248" i="62"/>
  <c r="B191" i="62"/>
  <c r="B163" i="62"/>
  <c r="B106" i="62"/>
  <c r="B78" i="62"/>
  <c r="B21" i="62"/>
  <c r="B91" i="62"/>
  <c r="B90" i="62"/>
  <c r="B259" i="62"/>
  <c r="B174" i="62"/>
  <c r="B258" i="62"/>
  <c r="B202" i="62"/>
  <c r="B192" i="62"/>
  <c r="B164" i="62"/>
  <c r="B275" i="62"/>
  <c r="B247" i="62"/>
  <c r="B190" i="62"/>
  <c r="B162" i="62"/>
  <c r="B105" i="62"/>
  <c r="B50" i="62"/>
  <c r="B20" i="62"/>
  <c r="B274" i="62"/>
  <c r="B246" i="62"/>
  <c r="B189" i="62"/>
  <c r="B134" i="62"/>
  <c r="B104" i="62"/>
  <c r="B49" i="62"/>
  <c r="B9" i="62"/>
  <c r="A269" i="62"/>
  <c r="A209" i="62"/>
  <c r="A109" i="62"/>
  <c r="A105" i="62"/>
  <c r="A36" i="62"/>
  <c r="A216" i="62"/>
  <c r="A113" i="62"/>
  <c r="A108" i="62"/>
  <c r="A37" i="62"/>
  <c r="A20" i="62"/>
  <c r="A281" i="62"/>
  <c r="A261" i="62"/>
  <c r="A89" i="62"/>
  <c r="A257" i="62"/>
  <c r="A69" i="62"/>
  <c r="A161" i="62"/>
  <c r="A144" i="62"/>
  <c r="A143" i="62"/>
  <c r="A116" i="62"/>
  <c r="A84" i="62"/>
  <c r="A236" i="62"/>
  <c r="A129" i="62"/>
  <c r="A81" i="62"/>
  <c r="A224" i="62"/>
  <c r="A117" i="62"/>
  <c r="A72" i="62"/>
  <c r="A68" i="62"/>
  <c r="A168" i="62"/>
  <c r="A167" i="62"/>
  <c r="A265" i="62"/>
  <c r="A153" i="62"/>
  <c r="A96" i="62"/>
  <c r="A264" i="62"/>
  <c r="A149" i="62"/>
  <c r="A93" i="62"/>
  <c r="A263" i="62"/>
  <c r="A145" i="62"/>
  <c r="A92" i="62"/>
  <c r="A213" i="62"/>
  <c r="A165" i="62"/>
  <c r="A141" i="62"/>
  <c r="A33" i="62"/>
  <c r="A260" i="62"/>
  <c r="A212" i="62"/>
  <c r="A164" i="62"/>
  <c r="A140" i="62"/>
  <c r="A107" i="62"/>
  <c r="A80" i="62"/>
  <c r="A32" i="62"/>
  <c r="A277" i="62"/>
  <c r="A252" i="62"/>
  <c r="A205" i="62"/>
  <c r="A157" i="62"/>
  <c r="A128" i="62"/>
  <c r="A104" i="62"/>
  <c r="A13" i="62"/>
  <c r="A276" i="62"/>
  <c r="A249" i="62"/>
  <c r="A204" i="62"/>
  <c r="A156" i="62"/>
  <c r="A125" i="62"/>
  <c r="A101" i="62"/>
  <c r="A12" i="62"/>
  <c r="A275" i="62"/>
  <c r="A248" i="62"/>
  <c r="A203" i="62"/>
  <c r="A155" i="62"/>
  <c r="A121" i="62"/>
  <c r="A97" i="62"/>
  <c r="A57" i="62"/>
  <c r="A9" i="62"/>
  <c r="A273" i="62"/>
  <c r="A240" i="62"/>
  <c r="A201" i="62"/>
  <c r="A120" i="62"/>
  <c r="A56" i="62"/>
  <c r="A8" i="62"/>
  <c r="A272" i="62"/>
  <c r="A237" i="62"/>
  <c r="A200" i="62"/>
  <c r="A152" i="62"/>
  <c r="A119" i="62"/>
  <c r="A95" i="62"/>
  <c r="A48" i="62"/>
  <c r="A188" i="62"/>
  <c r="A45" i="62"/>
  <c r="A225" i="62"/>
  <c r="A169" i="62"/>
  <c r="A44" i="62"/>
  <c r="A251" i="62"/>
  <c r="A239" i="62"/>
  <c r="A227" i="62"/>
  <c r="A215" i="62"/>
  <c r="A191" i="62"/>
  <c r="A179" i="62"/>
  <c r="A131" i="62"/>
  <c r="A83" i="62"/>
  <c r="A71" i="62"/>
  <c r="A59" i="62"/>
  <c r="A47" i="62"/>
  <c r="A35" i="62"/>
  <c r="A23" i="62"/>
  <c r="A11" i="62"/>
  <c r="A274" i="62"/>
  <c r="A262" i="62"/>
  <c r="A250" i="62"/>
  <c r="A238" i="62"/>
  <c r="A226" i="62"/>
  <c r="A214" i="62"/>
  <c r="A202" i="62"/>
  <c r="A190" i="62"/>
  <c r="A178" i="62"/>
  <c r="A166" i="62"/>
  <c r="A154" i="62"/>
  <c r="A142" i="62"/>
  <c r="A130" i="62"/>
  <c r="A118" i="62"/>
  <c r="A106" i="62"/>
  <c r="A94" i="62"/>
  <c r="A82" i="62"/>
  <c r="A70" i="62"/>
  <c r="A58" i="62"/>
  <c r="A46" i="62"/>
  <c r="A34" i="62"/>
  <c r="A22" i="62"/>
  <c r="A10" i="62"/>
  <c r="A189" i="62"/>
  <c r="A177" i="62"/>
  <c r="A21" i="62"/>
  <c r="A271" i="62"/>
  <c r="A259" i="62"/>
  <c r="A247" i="62"/>
  <c r="A235" i="62"/>
  <c r="A223" i="62"/>
  <c r="A211" i="62"/>
  <c r="A199" i="62"/>
  <c r="A187" i="62"/>
  <c r="A175" i="62"/>
  <c r="A163" i="62"/>
  <c r="A151" i="62"/>
  <c r="A139" i="62"/>
  <c r="A127" i="62"/>
  <c r="A115" i="62"/>
  <c r="A103" i="62"/>
  <c r="A91" i="62"/>
  <c r="A79" i="62"/>
  <c r="A67" i="62"/>
  <c r="A55" i="62"/>
  <c r="A43" i="62"/>
  <c r="A31" i="62"/>
  <c r="A19" i="62"/>
  <c r="A7" i="62"/>
  <c r="A176" i="62"/>
  <c r="A270" i="62"/>
  <c r="A258" i="62"/>
  <c r="A246" i="62"/>
  <c r="A234" i="62"/>
  <c r="A222" i="62"/>
  <c r="A210" i="62"/>
  <c r="A198" i="62"/>
  <c r="A186" i="62"/>
  <c r="A174" i="62"/>
  <c r="A162" i="62"/>
  <c r="A150" i="62"/>
  <c r="A138" i="62"/>
  <c r="A126" i="62"/>
  <c r="A114" i="62"/>
  <c r="A102" i="62"/>
  <c r="A90" i="62"/>
  <c r="A78" i="62"/>
  <c r="A66" i="62"/>
  <c r="A54" i="62"/>
  <c r="A42" i="62"/>
  <c r="A30" i="62"/>
  <c r="A18" i="62"/>
  <c r="A6" i="62"/>
  <c r="A245" i="62"/>
  <c r="A233" i="62"/>
  <c r="A221" i="62"/>
  <c r="A197" i="62"/>
  <c r="A185" i="62"/>
  <c r="A173" i="62"/>
  <c r="A137" i="62"/>
  <c r="A77" i="62"/>
  <c r="A65" i="62"/>
  <c r="A53" i="62"/>
  <c r="A41" i="62"/>
  <c r="A29" i="62"/>
  <c r="A17" i="62"/>
  <c r="A5" i="62"/>
  <c r="A280" i="62"/>
  <c r="A268" i="62"/>
  <c r="A256" i="62"/>
  <c r="A244" i="62"/>
  <c r="A232" i="62"/>
  <c r="A220" i="62"/>
  <c r="A208" i="62"/>
  <c r="A196" i="62"/>
  <c r="A184" i="62"/>
  <c r="A172" i="62"/>
  <c r="A160" i="62"/>
  <c r="A148" i="62"/>
  <c r="A136" i="62"/>
  <c r="A124" i="62"/>
  <c r="A112" i="62"/>
  <c r="A100" i="62"/>
  <c r="A88" i="62"/>
  <c r="A76" i="62"/>
  <c r="A64" i="62"/>
  <c r="A52" i="62"/>
  <c r="A40" i="62"/>
  <c r="A28" i="62"/>
  <c r="A16" i="62"/>
  <c r="A4" i="62"/>
  <c r="A279" i="62"/>
  <c r="A267" i="62"/>
  <c r="A255" i="62"/>
  <c r="A243" i="62"/>
  <c r="A231" i="62"/>
  <c r="A219" i="62"/>
  <c r="A207" i="62"/>
  <c r="A195" i="62"/>
  <c r="A183" i="62"/>
  <c r="A171" i="62"/>
  <c r="A159" i="62"/>
  <c r="A147" i="62"/>
  <c r="A135" i="62"/>
  <c r="A123" i="62"/>
  <c r="A111" i="62"/>
  <c r="A99" i="62"/>
  <c r="A87" i="62"/>
  <c r="A75" i="62"/>
  <c r="A63" i="62"/>
  <c r="A51" i="62"/>
  <c r="A39" i="62"/>
  <c r="A27" i="62"/>
  <c r="A15" i="62"/>
  <c r="A266" i="62"/>
  <c r="A242" i="62"/>
  <c r="A230" i="62"/>
  <c r="A218" i="62"/>
  <c r="A194" i="62"/>
  <c r="A182" i="62"/>
  <c r="A170" i="62"/>
  <c r="A134" i="62"/>
  <c r="A98" i="62"/>
  <c r="A74" i="62"/>
  <c r="A62" i="62"/>
  <c r="A50" i="62"/>
  <c r="A26" i="62"/>
  <c r="A253" i="62"/>
  <c r="A229" i="62"/>
  <c r="A193" i="62"/>
  <c r="A181" i="62"/>
  <c r="A133" i="62"/>
  <c r="A85" i="62"/>
  <c r="A61" i="62"/>
  <c r="A25" i="62"/>
  <c r="B278" i="62"/>
  <c r="B266" i="62"/>
  <c r="B254" i="62"/>
  <c r="B242" i="62"/>
  <c r="B230" i="62"/>
  <c r="B206" i="62"/>
  <c r="B194" i="62"/>
  <c r="B182" i="62"/>
  <c r="B170" i="62"/>
  <c r="B158" i="62"/>
  <c r="B146" i="62"/>
  <c r="B122" i="62"/>
  <c r="B110" i="62"/>
  <c r="B98" i="62"/>
  <c r="B86" i="62"/>
  <c r="B74" i="62"/>
  <c r="B62" i="62"/>
  <c r="B38" i="62"/>
  <c r="B26" i="62"/>
  <c r="B14" i="62"/>
  <c r="B277" i="62"/>
  <c r="B265" i="62"/>
  <c r="B253" i="62"/>
  <c r="B241" i="62"/>
  <c r="B229" i="62"/>
  <c r="B193" i="62"/>
  <c r="B181" i="62"/>
  <c r="B169" i="62"/>
  <c r="B157" i="62"/>
  <c r="B145" i="62"/>
  <c r="B109" i="62"/>
  <c r="B97" i="62"/>
  <c r="B85" i="62"/>
  <c r="B73" i="62"/>
  <c r="B61" i="62"/>
  <c r="B25" i="62"/>
  <c r="B13" i="62"/>
  <c r="B264" i="62"/>
  <c r="B252" i="62"/>
  <c r="B240" i="62"/>
  <c r="B228" i="62"/>
  <c r="B180" i="62"/>
  <c r="B168" i="62"/>
  <c r="B156" i="62"/>
  <c r="B144" i="62"/>
  <c r="B96" i="62"/>
  <c r="B84" i="62"/>
  <c r="B72" i="62"/>
  <c r="B60" i="62"/>
  <c r="B12" i="62"/>
  <c r="B239" i="62"/>
  <c r="B227" i="62"/>
  <c r="B155" i="62"/>
  <c r="B143" i="62"/>
  <c r="B71" i="62"/>
  <c r="B59" i="62"/>
  <c r="B11" i="62"/>
  <c r="B250" i="62"/>
  <c r="B238" i="62"/>
  <c r="B226" i="62"/>
  <c r="B214" i="62"/>
  <c r="B166" i="62"/>
  <c r="B154" i="62"/>
  <c r="B142" i="62"/>
  <c r="B130" i="62"/>
  <c r="B82" i="62"/>
  <c r="B70" i="62"/>
  <c r="B58" i="62"/>
  <c r="B46" i="62"/>
  <c r="B10" i="62"/>
  <c r="B249" i="62"/>
  <c r="B237" i="62"/>
  <c r="B225" i="62"/>
  <c r="B213" i="62"/>
  <c r="B201" i="62"/>
  <c r="B165" i="62"/>
  <c r="B153" i="62"/>
  <c r="B141" i="62"/>
  <c r="B129" i="62"/>
  <c r="B117" i="62"/>
  <c r="B81" i="62"/>
  <c r="B69" i="62"/>
  <c r="B57" i="62"/>
  <c r="B45" i="62"/>
  <c r="B33" i="62"/>
  <c r="B236" i="62"/>
  <c r="B224" i="62"/>
  <c r="B212" i="62"/>
  <c r="B200" i="62"/>
  <c r="B152" i="62"/>
  <c r="B140" i="62"/>
  <c r="B128" i="62"/>
  <c r="B116" i="62"/>
  <c r="B68" i="62"/>
  <c r="B56" i="62"/>
  <c r="B44" i="62"/>
  <c r="B32" i="62"/>
  <c r="B271" i="62"/>
  <c r="B235" i="62"/>
  <c r="B223" i="62"/>
  <c r="B211" i="62"/>
  <c r="B199" i="62"/>
  <c r="B187" i="62"/>
  <c r="B151" i="62"/>
  <c r="B139" i="62"/>
  <c r="B127" i="62"/>
  <c r="B115" i="62"/>
  <c r="B103" i="62"/>
  <c r="B67" i="62"/>
  <c r="B55" i="62"/>
  <c r="B43" i="62"/>
  <c r="B31" i="62"/>
  <c r="B19" i="62"/>
  <c r="B2" i="62"/>
  <c r="B270" i="62"/>
  <c r="B234" i="62"/>
  <c r="B222" i="62"/>
  <c r="B210" i="62"/>
  <c r="B198" i="62"/>
  <c r="B186" i="62"/>
  <c r="B150" i="62"/>
  <c r="B138" i="62"/>
  <c r="B126" i="62"/>
  <c r="B114" i="62"/>
  <c r="B102" i="62"/>
  <c r="B66" i="62"/>
  <c r="B54" i="62"/>
  <c r="B42" i="62"/>
  <c r="B30" i="62"/>
  <c r="B18" i="62"/>
  <c r="B281" i="62"/>
  <c r="B269" i="62"/>
  <c r="B257" i="62"/>
  <c r="B245" i="62"/>
  <c r="B233" i="62"/>
  <c r="B221" i="62"/>
  <c r="B209" i="62"/>
  <c r="B197" i="62"/>
  <c r="B185" i="62"/>
  <c r="B173" i="62"/>
  <c r="B161" i="62"/>
  <c r="B149" i="62"/>
  <c r="B137" i="62"/>
  <c r="B125" i="62"/>
  <c r="B113" i="62"/>
  <c r="B101" i="62"/>
  <c r="B89" i="62"/>
  <c r="B77" i="62"/>
  <c r="B65" i="62"/>
  <c r="B53" i="62"/>
  <c r="B41" i="62"/>
  <c r="B29" i="62"/>
  <c r="B17" i="62"/>
  <c r="B5" i="62"/>
  <c r="B280" i="62"/>
  <c r="B268" i="62"/>
  <c r="B256" i="62"/>
  <c r="B244" i="62"/>
  <c r="B232" i="62"/>
  <c r="B220" i="62"/>
  <c r="B208" i="62"/>
  <c r="B196" i="62"/>
  <c r="B184" i="62"/>
  <c r="B172" i="62"/>
  <c r="B160" i="62"/>
  <c r="B148" i="62"/>
  <c r="B136" i="62"/>
  <c r="B124" i="62"/>
  <c r="B112" i="62"/>
  <c r="B100" i="62"/>
  <c r="B88" i="62"/>
  <c r="B279" i="62"/>
  <c r="B267" i="62"/>
  <c r="B255" i="62"/>
  <c r="B243" i="62"/>
  <c r="B231" i="62"/>
  <c r="B219" i="62"/>
  <c r="B207" i="62"/>
  <c r="B195" i="62"/>
  <c r="B183" i="62"/>
  <c r="B171" i="62"/>
  <c r="B159" i="62"/>
  <c r="B147" i="62"/>
  <c r="B135" i="62"/>
  <c r="B123" i="62"/>
  <c r="B111" i="62"/>
  <c r="B99" i="62"/>
  <c r="B87" i="62"/>
  <c r="C7" i="58" l="1"/>
  <c r="B12" i="59"/>
  <c r="C20" i="57"/>
  <c r="C19" i="57"/>
  <c r="C18" i="57"/>
  <c r="C17" i="57"/>
  <c r="C14" i="60"/>
  <c r="C16" i="57"/>
  <c r="C15" i="60"/>
  <c r="C10" i="60"/>
  <c r="C11" i="60"/>
  <c r="C8" i="60"/>
  <c r="C2" i="60"/>
  <c r="C3" i="60"/>
  <c r="C4" i="60"/>
  <c r="C5" i="60"/>
  <c r="C6" i="60"/>
  <c r="C7" i="60"/>
  <c r="C9" i="60"/>
  <c r="C12" i="60"/>
  <c r="C13" i="60"/>
  <c r="C35" i="57"/>
  <c r="C34" i="57"/>
  <c r="C33" i="57"/>
  <c r="C32" i="57"/>
  <c r="C31" i="57"/>
  <c r="C30" i="57"/>
  <c r="C29" i="57"/>
  <c r="C27" i="57"/>
  <c r="C26" i="57"/>
  <c r="C25" i="57"/>
  <c r="C24" i="57"/>
  <c r="C21" i="57"/>
  <c r="C22" i="57"/>
  <c r="C9" i="57"/>
  <c r="C12" i="57"/>
  <c r="C11" i="57"/>
  <c r="C8" i="57"/>
  <c r="C5" i="57"/>
  <c r="C15" i="57"/>
  <c r="C23" i="57"/>
  <c r="C28" i="57"/>
  <c r="C4" i="57"/>
  <c r="C3" i="57"/>
  <c r="C13" i="57"/>
  <c r="C7" i="57"/>
  <c r="C6" i="57"/>
  <c r="B3" i="59"/>
  <c r="B4" i="59"/>
  <c r="B5" i="59"/>
  <c r="B6" i="59"/>
  <c r="B7" i="59"/>
  <c r="B8" i="59"/>
  <c r="B9" i="59"/>
  <c r="B10" i="59"/>
  <c r="B11" i="59"/>
  <c r="B2" i="59"/>
  <c r="C3" i="58"/>
  <c r="C4" i="58"/>
  <c r="C5" i="58"/>
  <c r="C6" i="58"/>
  <c r="C2" i="58"/>
  <c r="C10" i="57"/>
  <c r="C14" i="57"/>
  <c r="C2" i="57"/>
  <c r="F6" i="58" a="1"/>
  <c r="F2" i="58" a="1"/>
  <c r="F7" i="58" a="1"/>
  <c r="F3" i="58" a="1"/>
  <c r="F4" i="58" a="1"/>
  <c r="F5" i="58" a="1"/>
  <c r="F15" i="60" a="1"/>
  <c r="F14" i="60" a="1"/>
  <c r="F13" i="60" a="1"/>
  <c r="F12" i="60" a="1"/>
  <c r="F11" i="60" a="1"/>
  <c r="F10" i="60" a="1"/>
  <c r="F9" i="60" a="1"/>
  <c r="F8" i="60" a="1"/>
  <c r="F7" i="60" a="1"/>
  <c r="F6" i="60" a="1"/>
  <c r="F5" i="60" a="1"/>
  <c r="F4" i="60" a="1"/>
  <c r="F3" i="60" a="1"/>
  <c r="F2" i="60" a="1"/>
  <c r="F5" i="58" l="1"/>
  <c r="F7" i="60"/>
  <c r="F6" i="60"/>
  <c r="F4" i="58"/>
  <c r="F3" i="58"/>
  <c r="F5" i="60"/>
  <c r="F2" i="60"/>
  <c r="F10" i="60"/>
  <c r="F4" i="60"/>
  <c r="F3" i="60"/>
  <c r="F7" i="58"/>
  <c r="F13" i="60"/>
  <c r="F15" i="60"/>
  <c r="F8" i="60"/>
  <c r="F11" i="60"/>
  <c r="F2" i="58"/>
  <c r="F12" i="60"/>
  <c r="F6" i="58"/>
  <c r="F9" i="60"/>
  <c r="F14" i="60"/>
  <c r="G3" i="47"/>
  <c r="N16" i="47" l="1"/>
  <c r="J3" i="55" l="1"/>
  <c r="J2" i="54"/>
  <c r="J2" i="56"/>
  <c r="J2" i="55"/>
  <c r="J2" i="61"/>
  <c r="J3" i="61"/>
  <c r="B255" i="61" s="1"/>
  <c r="E7" i="59" a="1"/>
  <c r="E4" i="59" a="1"/>
  <c r="E2" i="59" a="1"/>
  <c r="E12" i="59" a="1"/>
  <c r="E5" i="59" a="1"/>
  <c r="E10" i="59" a="1"/>
  <c r="E6" i="59" a="1"/>
  <c r="E8" i="59" a="1"/>
  <c r="E9" i="59" a="1"/>
  <c r="E3" i="59" a="1"/>
  <c r="E11" i="59" a="1"/>
  <c r="F35" i="57" a="1"/>
  <c r="F34" i="57" a="1"/>
  <c r="F33" i="57" a="1"/>
  <c r="F32" i="57" a="1"/>
  <c r="F31" i="57" a="1"/>
  <c r="F30" i="57" a="1"/>
  <c r="F29" i="57" a="1"/>
  <c r="F28" i="57" a="1"/>
  <c r="F27" i="57" a="1"/>
  <c r="F26" i="57" a="1"/>
  <c r="F25" i="57" a="1"/>
  <c r="F24" i="57" a="1"/>
  <c r="F23" i="57" a="1"/>
  <c r="F22" i="57" a="1"/>
  <c r="F21" i="57" a="1"/>
  <c r="F20" i="57" a="1"/>
  <c r="F19" i="57" a="1"/>
  <c r="F18" i="57" a="1"/>
  <c r="F16" i="57" a="1"/>
  <c r="F15" i="57" a="1"/>
  <c r="F14" i="57" a="1"/>
  <c r="F12" i="57" a="1"/>
  <c r="F11" i="57" a="1"/>
  <c r="F10" i="57" a="1"/>
  <c r="F9" i="57" a="1"/>
  <c r="F8" i="57" a="1"/>
  <c r="F7" i="57" a="1"/>
  <c r="F6" i="57" a="1"/>
  <c r="F5" i="57" a="1"/>
  <c r="F4" i="57" a="1"/>
  <c r="F3" i="57" a="1"/>
  <c r="F2" i="57" a="1"/>
  <c r="F17" i="57" a="1"/>
  <c r="F13" i="57" a="1"/>
  <c r="J4" i="61" l="1"/>
  <c r="J3" i="56"/>
  <c r="B135" i="56" s="1"/>
  <c r="J4" i="55"/>
  <c r="B64" i="55" s="1"/>
  <c r="J4" i="56"/>
  <c r="B213" i="56" s="1"/>
  <c r="J6" i="55"/>
  <c r="B24" i="55" s="1"/>
  <c r="J6" i="56"/>
  <c r="B72" i="56" s="1"/>
  <c r="J10" i="56"/>
  <c r="B219" i="56" s="1"/>
  <c r="J8" i="61"/>
  <c r="B50" i="61" s="1"/>
  <c r="J5" i="55"/>
  <c r="B83" i="55" s="1"/>
  <c r="J7" i="55"/>
  <c r="B61" i="55" s="1"/>
  <c r="J7" i="61"/>
  <c r="B63" i="61" s="1"/>
  <c r="J11" i="54"/>
  <c r="B385" i="54" s="1"/>
  <c r="J10" i="54"/>
  <c r="B44" i="54" s="1"/>
  <c r="J14" i="54"/>
  <c r="B422" i="54" s="1"/>
  <c r="J26" i="54"/>
  <c r="B502" i="54" s="1"/>
  <c r="J9" i="56"/>
  <c r="B9" i="56" s="1"/>
  <c r="J28" i="54"/>
  <c r="B198" i="54" s="1"/>
  <c r="J33" i="54"/>
  <c r="B33" i="54" s="1"/>
  <c r="J8" i="56"/>
  <c r="B129" i="56" s="1"/>
  <c r="J11" i="61"/>
  <c r="B165" i="61" s="1"/>
  <c r="J4" i="54"/>
  <c r="B38" i="54" s="1"/>
  <c r="J3" i="54"/>
  <c r="B105" i="54" s="1"/>
  <c r="J23" i="54"/>
  <c r="B533" i="54" s="1"/>
  <c r="J5" i="56"/>
  <c r="B60" i="56" s="1"/>
  <c r="J10" i="61"/>
  <c r="B136" i="61" s="1"/>
  <c r="J34" i="54"/>
  <c r="B102" i="54" s="1"/>
  <c r="J5" i="61"/>
  <c r="B61" i="61" s="1"/>
  <c r="J12" i="56"/>
  <c r="B100" i="56" s="1"/>
  <c r="J14" i="61"/>
  <c r="B140" i="61" s="1"/>
  <c r="J27" i="54"/>
  <c r="B129" i="54" s="1"/>
  <c r="J11" i="56"/>
  <c r="B66" i="56" s="1"/>
  <c r="J6" i="54"/>
  <c r="B40" i="54" s="1"/>
  <c r="J6" i="61"/>
  <c r="B244" i="61" s="1"/>
  <c r="J7" i="56"/>
  <c r="B7" i="56" s="1"/>
  <c r="J22" i="54"/>
  <c r="B226" i="54" s="1"/>
  <c r="J20" i="54"/>
  <c r="B394" i="54" s="1"/>
  <c r="F17" i="57"/>
  <c r="F20" i="57"/>
  <c r="F15" i="57"/>
  <c r="F8" i="57"/>
  <c r="F28" i="57"/>
  <c r="F29" i="57"/>
  <c r="F12" i="57"/>
  <c r="E8" i="59"/>
  <c r="F14" i="57"/>
  <c r="F21" i="57"/>
  <c r="F5" i="57"/>
  <c r="F30" i="57"/>
  <c r="E9" i="59"/>
  <c r="E10" i="59"/>
  <c r="E4" i="59"/>
  <c r="E3" i="59"/>
  <c r="F6" i="57"/>
  <c r="E2" i="59"/>
  <c r="F7" i="57"/>
  <c r="F16" i="57"/>
  <c r="E12" i="59"/>
  <c r="F35" i="57"/>
  <c r="E5" i="59"/>
  <c r="F10" i="57"/>
  <c r="F25" i="57"/>
  <c r="F26" i="57"/>
  <c r="F18" i="57"/>
  <c r="F2" i="57"/>
  <c r="F32" i="57"/>
  <c r="F24" i="57"/>
  <c r="E6" i="59"/>
  <c r="F34" i="57"/>
  <c r="F23" i="57"/>
  <c r="F4" i="57"/>
  <c r="F9" i="57"/>
  <c r="F33" i="57"/>
  <c r="F22" i="57"/>
  <c r="F3" i="57"/>
  <c r="F13" i="57"/>
  <c r="E7" i="59"/>
  <c r="F19" i="57"/>
  <c r="F11" i="57"/>
  <c r="F27" i="57"/>
  <c r="F31" i="57"/>
  <c r="E11" i="59"/>
  <c r="J9" i="61"/>
  <c r="B135" i="61" s="1"/>
  <c r="J5" i="54"/>
  <c r="B651" i="54" s="1"/>
  <c r="J12" i="54"/>
  <c r="B522" i="54" s="1"/>
  <c r="J31" i="54"/>
  <c r="B677" i="54" s="1"/>
  <c r="J25" i="54"/>
  <c r="B229" i="54" s="1"/>
  <c r="J15" i="54"/>
  <c r="B355" i="54" s="1"/>
  <c r="J7" i="54"/>
  <c r="B517" i="54" s="1"/>
  <c r="J13" i="54"/>
  <c r="B659" i="54" s="1"/>
  <c r="J21" i="54"/>
  <c r="B89" i="54" s="1"/>
  <c r="J29" i="54"/>
  <c r="B641" i="54" s="1"/>
  <c r="J32" i="54"/>
  <c r="B440" i="54" s="1"/>
  <c r="J35" i="54"/>
  <c r="B35" i="54" s="1"/>
  <c r="J15" i="61"/>
  <c r="B253" i="61" s="1"/>
  <c r="J9" i="54"/>
  <c r="B519" i="54" s="1"/>
  <c r="J8" i="54"/>
  <c r="B484" i="54" s="1"/>
  <c r="J18" i="54"/>
  <c r="B460" i="54" s="1"/>
  <c r="J12" i="61"/>
  <c r="B40" i="61" s="1"/>
  <c r="J19" i="54"/>
  <c r="B257" i="54" s="1"/>
  <c r="J30" i="54"/>
  <c r="B200" i="54" s="1"/>
  <c r="J17" i="54"/>
  <c r="B425" i="54" s="1"/>
  <c r="J13" i="61"/>
  <c r="B167" i="61" s="1"/>
  <c r="J16" i="54"/>
  <c r="B662" i="54" s="1"/>
  <c r="J24" i="54"/>
  <c r="B568" i="54" s="1"/>
  <c r="B138" i="54"/>
  <c r="B74" i="55"/>
  <c r="B104" i="55"/>
  <c r="B62" i="55"/>
  <c r="B172" i="54"/>
  <c r="B189" i="56"/>
  <c r="B80" i="55"/>
  <c r="B20" i="55"/>
  <c r="B86" i="55"/>
  <c r="B50" i="55"/>
  <c r="B8" i="55"/>
  <c r="B38" i="55"/>
  <c r="B110" i="55"/>
  <c r="B44" i="55"/>
  <c r="B2" i="55"/>
  <c r="B116" i="55"/>
  <c r="B32" i="55"/>
  <c r="B184" i="61"/>
  <c r="B35" i="56"/>
  <c r="B178" i="56"/>
  <c r="B2" i="54"/>
  <c r="B79" i="56"/>
  <c r="B198" i="61"/>
  <c r="B68" i="55"/>
  <c r="B14" i="55"/>
  <c r="B226" i="61"/>
  <c r="B2" i="56"/>
  <c r="B98" i="55"/>
  <c r="B26" i="55"/>
  <c r="B170" i="61"/>
  <c r="B200" i="56"/>
  <c r="B90" i="56"/>
  <c r="B57" i="56"/>
  <c r="B211" i="56"/>
  <c r="B101" i="56"/>
  <c r="B112" i="56"/>
  <c r="B13" i="56"/>
  <c r="B156" i="56"/>
  <c r="B123" i="56"/>
  <c r="B167" i="56"/>
  <c r="B145" i="56"/>
  <c r="B24" i="56"/>
  <c r="B68" i="56"/>
  <c r="B134" i="56"/>
  <c r="B46" i="56"/>
  <c r="B72" i="61"/>
  <c r="B212" i="61"/>
  <c r="B268" i="61"/>
  <c r="B128" i="61"/>
  <c r="B100" i="61"/>
  <c r="B308" i="54"/>
  <c r="B104" i="54"/>
  <c r="B240" i="54"/>
  <c r="B36" i="54"/>
  <c r="B240" i="61"/>
  <c r="B2" i="61"/>
  <c r="B44" i="61"/>
  <c r="B156" i="61"/>
  <c r="B444" i="54"/>
  <c r="B274" i="54"/>
  <c r="B92" i="55"/>
  <c r="B56" i="55"/>
  <c r="B58" i="61"/>
  <c r="B254" i="61"/>
  <c r="B648" i="54"/>
  <c r="B16" i="61"/>
  <c r="B86" i="61"/>
  <c r="B114" i="61"/>
  <c r="B142" i="61"/>
  <c r="B614" i="54"/>
  <c r="B70" i="54"/>
  <c r="B30" i="61"/>
  <c r="B580" i="54"/>
  <c r="B512" i="54"/>
  <c r="B342" i="54"/>
  <c r="B410" i="54"/>
  <c r="B478" i="54"/>
  <c r="B376" i="54"/>
  <c r="B546" i="54"/>
  <c r="B206" i="54"/>
  <c r="B199" i="61"/>
  <c r="B269" i="61"/>
  <c r="B101" i="61"/>
  <c r="B179" i="56"/>
  <c r="B73" i="61"/>
  <c r="B227" i="61"/>
  <c r="B115" i="61"/>
  <c r="B3" i="61"/>
  <c r="B213" i="61"/>
  <c r="B124" i="56"/>
  <c r="B143" i="61"/>
  <c r="B129" i="61"/>
  <c r="B59" i="61"/>
  <c r="B185" i="61"/>
  <c r="B31" i="61"/>
  <c r="B157" i="61"/>
  <c r="B87" i="61"/>
  <c r="B17" i="61"/>
  <c r="B201" i="56"/>
  <c r="B25" i="56"/>
  <c r="B3" i="56"/>
  <c r="B91" i="56"/>
  <c r="B113" i="56"/>
  <c r="B47" i="56"/>
  <c r="B146" i="56"/>
  <c r="B168" i="56"/>
  <c r="B102" i="56"/>
  <c r="B157" i="56"/>
  <c r="B190" i="56"/>
  <c r="B69" i="56"/>
  <c r="B14" i="56"/>
  <c r="B80" i="56"/>
  <c r="B212" i="56"/>
  <c r="B58" i="56"/>
  <c r="B45" i="61"/>
  <c r="B171" i="61"/>
  <c r="B241" i="61"/>
  <c r="B18" i="61"/>
  <c r="B102" i="61"/>
  <c r="B186" i="61"/>
  <c r="B214" i="61"/>
  <c r="B172" i="61"/>
  <c r="B200" i="61"/>
  <c r="B228" i="61"/>
  <c r="B256" i="61"/>
  <c r="B74" i="61"/>
  <c r="B158" i="61"/>
  <c r="B270" i="61"/>
  <c r="B46" i="61"/>
  <c r="B242" i="61"/>
  <c r="B88" i="61"/>
  <c r="B32" i="61"/>
  <c r="B116" i="61"/>
  <c r="B130" i="61"/>
  <c r="B60" i="61"/>
  <c r="B144" i="61"/>
  <c r="B4" i="61"/>
  <c r="B99" i="55"/>
  <c r="B93" i="55"/>
  <c r="B81" i="55"/>
  <c r="B111" i="55"/>
  <c r="B21" i="55"/>
  <c r="B33" i="55"/>
  <c r="B3" i="55"/>
  <c r="B45" i="55"/>
  <c r="B15" i="55"/>
  <c r="B105" i="55"/>
  <c r="B57" i="55"/>
  <c r="B87" i="55"/>
  <c r="B9" i="55"/>
  <c r="B27" i="55"/>
  <c r="B39" i="55"/>
  <c r="B51" i="55"/>
  <c r="B63" i="55"/>
  <c r="B69" i="55"/>
  <c r="B75" i="55"/>
  <c r="B117" i="55"/>
  <c r="B201" i="61"/>
  <c r="B638" i="54"/>
  <c r="B298" i="54"/>
  <c r="B31" i="56"/>
  <c r="B186" i="56"/>
  <c r="B208" i="56"/>
  <c r="B43" i="56"/>
  <c r="B10" i="56"/>
  <c r="B175" i="56"/>
  <c r="B142" i="56"/>
  <c r="B120" i="56"/>
  <c r="B65" i="56"/>
  <c r="B131" i="56"/>
  <c r="B54" i="56"/>
  <c r="B153" i="56"/>
  <c r="B76" i="56"/>
  <c r="B92" i="56"/>
  <c r="B158" i="56"/>
  <c r="B59" i="56"/>
  <c r="B191" i="56"/>
  <c r="B136" i="56"/>
  <c r="B15" i="56"/>
  <c r="B114" i="56"/>
  <c r="B147" i="56"/>
  <c r="B48" i="56"/>
  <c r="B103" i="56"/>
  <c r="B70" i="56"/>
  <c r="B125" i="56"/>
  <c r="B26" i="56"/>
  <c r="B4" i="56"/>
  <c r="B202" i="56"/>
  <c r="B180" i="56"/>
  <c r="B169" i="56"/>
  <c r="B215" i="56"/>
  <c r="B28" i="56"/>
  <c r="B138" i="56"/>
  <c r="B105" i="56"/>
  <c r="B160" i="56"/>
  <c r="B39" i="56"/>
  <c r="B171" i="56"/>
  <c r="B6" i="56"/>
  <c r="B94" i="56"/>
  <c r="B204" i="56"/>
  <c r="B127" i="56"/>
  <c r="B193" i="56"/>
  <c r="B17" i="56"/>
  <c r="B50" i="56"/>
  <c r="B149" i="56"/>
  <c r="B61" i="56"/>
  <c r="B182" i="56"/>
  <c r="B116" i="56"/>
  <c r="B83" i="56"/>
  <c r="B38" i="61"/>
  <c r="B122" i="61"/>
  <c r="B206" i="61"/>
  <c r="B108" i="61"/>
  <c r="B164" i="61"/>
  <c r="B276" i="61"/>
  <c r="B265" i="54"/>
  <c r="B28" i="55"/>
  <c r="B118" i="55"/>
  <c r="B40" i="55"/>
  <c r="B52" i="55"/>
  <c r="B106" i="55"/>
  <c r="B76" i="55"/>
  <c r="B82" i="55"/>
  <c r="B88" i="55"/>
  <c r="B70" i="55"/>
  <c r="B100" i="55"/>
  <c r="B22" i="55"/>
  <c r="B16" i="55"/>
  <c r="B58" i="55"/>
  <c r="B46" i="55"/>
  <c r="B4" i="55"/>
  <c r="B112" i="55"/>
  <c r="B94" i="55"/>
  <c r="B10" i="55"/>
  <c r="B34" i="55"/>
  <c r="B67" i="56"/>
  <c r="B199" i="56"/>
  <c r="B34" i="56"/>
  <c r="B166" i="56"/>
  <c r="B12" i="56"/>
  <c r="B89" i="56"/>
  <c r="B144" i="56"/>
  <c r="B221" i="56"/>
  <c r="B188" i="56"/>
  <c r="B78" i="56"/>
  <c r="B45" i="56"/>
  <c r="B111" i="56"/>
  <c r="B210" i="56"/>
  <c r="B177" i="56"/>
  <c r="B155" i="56"/>
  <c r="B23" i="56"/>
  <c r="B77" i="56"/>
  <c r="B209" i="56"/>
  <c r="B44" i="56"/>
  <c r="B143" i="56"/>
  <c r="B33" i="56"/>
  <c r="B99" i="56"/>
  <c r="B165" i="56"/>
  <c r="B88" i="56"/>
  <c r="B198" i="56"/>
  <c r="B22" i="56"/>
  <c r="B55" i="56"/>
  <c r="B154" i="56"/>
  <c r="B121" i="56"/>
  <c r="B136" i="54"/>
  <c r="B476" i="54"/>
  <c r="B646" i="54"/>
  <c r="B442" i="54"/>
  <c r="B68" i="54"/>
  <c r="B680" i="54"/>
  <c r="B510" i="54"/>
  <c r="B131" i="54"/>
  <c r="B471" i="54"/>
  <c r="B291" i="54"/>
  <c r="B427" i="54"/>
  <c r="B87" i="54"/>
  <c r="B48" i="54"/>
  <c r="B150" i="54"/>
  <c r="B184" i="54"/>
  <c r="B456" i="54"/>
  <c r="B252" i="54"/>
  <c r="B354" i="54"/>
  <c r="B388" i="54"/>
  <c r="B116" i="54"/>
  <c r="B592" i="54"/>
  <c r="B524" i="54"/>
  <c r="B626" i="54"/>
  <c r="B82" i="54"/>
  <c r="B558" i="54"/>
  <c r="B660" i="54"/>
  <c r="B14" i="54"/>
  <c r="B320" i="54"/>
  <c r="B218" i="54"/>
  <c r="B490" i="54"/>
  <c r="B286" i="54"/>
  <c r="A2" i="54"/>
  <c r="A35" i="54"/>
  <c r="A39" i="56"/>
  <c r="A41" i="56"/>
  <c r="A42" i="56"/>
  <c r="A43" i="56"/>
  <c r="A44" i="56"/>
  <c r="A45" i="56"/>
  <c r="A35" i="56"/>
  <c r="A36" i="56"/>
  <c r="A37" i="56"/>
  <c r="A38" i="56"/>
  <c r="A40" i="56"/>
  <c r="A123" i="56"/>
  <c r="A125" i="56"/>
  <c r="A126" i="56"/>
  <c r="A127" i="56"/>
  <c r="A130" i="56"/>
  <c r="A128" i="56"/>
  <c r="A131" i="56"/>
  <c r="A129" i="56"/>
  <c r="A132" i="56"/>
  <c r="A133" i="56"/>
  <c r="A124" i="56"/>
  <c r="A2" i="56"/>
  <c r="A3" i="56"/>
  <c r="A4" i="56"/>
  <c r="A5" i="56"/>
  <c r="A6" i="56"/>
  <c r="A7" i="56"/>
  <c r="A8" i="56"/>
  <c r="A9" i="56"/>
  <c r="A10" i="56"/>
  <c r="A11" i="56"/>
  <c r="A12" i="56"/>
  <c r="A211" i="56"/>
  <c r="A215" i="56"/>
  <c r="A212" i="56"/>
  <c r="A214" i="56"/>
  <c r="A213" i="56"/>
  <c r="A216" i="56"/>
  <c r="A217" i="56"/>
  <c r="A218" i="56"/>
  <c r="A219" i="56"/>
  <c r="A220" i="56"/>
  <c r="A221" i="56"/>
  <c r="A175" i="56"/>
  <c r="A176" i="56"/>
  <c r="A167" i="56"/>
  <c r="A177" i="56"/>
  <c r="A168" i="56"/>
  <c r="A169" i="56"/>
  <c r="A171" i="56"/>
  <c r="A172" i="56"/>
  <c r="A173" i="56"/>
  <c r="A174" i="56"/>
  <c r="A170" i="56"/>
  <c r="A87" i="56"/>
  <c r="A89" i="56"/>
  <c r="A79" i="56"/>
  <c r="A80" i="56"/>
  <c r="A82" i="56"/>
  <c r="A83" i="56"/>
  <c r="A81" i="56"/>
  <c r="A84" i="56"/>
  <c r="A85" i="56"/>
  <c r="A86" i="56"/>
  <c r="A88" i="56"/>
  <c r="A27" i="56"/>
  <c r="A29" i="56"/>
  <c r="A30" i="56"/>
  <c r="A31" i="56"/>
  <c r="A32" i="56"/>
  <c r="A33" i="56"/>
  <c r="A34" i="56"/>
  <c r="A24" i="56"/>
  <c r="A25" i="56"/>
  <c r="A26" i="56"/>
  <c r="A28" i="56"/>
  <c r="A187" i="56"/>
  <c r="A179" i="56"/>
  <c r="A188" i="56"/>
  <c r="A178" i="56"/>
  <c r="A180" i="56"/>
  <c r="A181" i="56"/>
  <c r="A182" i="56"/>
  <c r="A183" i="56"/>
  <c r="A184" i="56"/>
  <c r="A185" i="56"/>
  <c r="A186" i="56"/>
  <c r="A199" i="56"/>
  <c r="A189" i="56"/>
  <c r="A190" i="56"/>
  <c r="A191" i="56"/>
  <c r="A192" i="56"/>
  <c r="A193" i="56"/>
  <c r="A197" i="56"/>
  <c r="A198" i="56"/>
  <c r="A194" i="56"/>
  <c r="A195" i="56"/>
  <c r="A196" i="56"/>
  <c r="A63" i="56"/>
  <c r="A65" i="56"/>
  <c r="A66" i="56"/>
  <c r="A67" i="56"/>
  <c r="A58" i="56"/>
  <c r="A57" i="56"/>
  <c r="A59" i="56"/>
  <c r="A60" i="56"/>
  <c r="A61" i="56"/>
  <c r="A62" i="56"/>
  <c r="A64" i="56"/>
  <c r="A163" i="56"/>
  <c r="A166" i="56"/>
  <c r="A164" i="56"/>
  <c r="A165" i="56"/>
  <c r="A156" i="56"/>
  <c r="A157" i="56"/>
  <c r="A158" i="56"/>
  <c r="A159" i="56"/>
  <c r="A160" i="56"/>
  <c r="A161" i="56"/>
  <c r="A162" i="56"/>
  <c r="A135" i="56"/>
  <c r="A137" i="56"/>
  <c r="A139" i="56"/>
  <c r="A143" i="56"/>
  <c r="A140" i="56"/>
  <c r="A142" i="56"/>
  <c r="A141" i="56"/>
  <c r="A144" i="56"/>
  <c r="A138" i="56"/>
  <c r="A134" i="56"/>
  <c r="A136" i="56"/>
  <c r="A151" i="56"/>
  <c r="A152" i="56"/>
  <c r="A153" i="56"/>
  <c r="A154" i="56"/>
  <c r="A155" i="56"/>
  <c r="A145" i="56"/>
  <c r="A146" i="56"/>
  <c r="A147" i="56"/>
  <c r="A148" i="56"/>
  <c r="A149" i="56"/>
  <c r="A150" i="56"/>
  <c r="A99" i="56"/>
  <c r="A90" i="56"/>
  <c r="A91" i="56"/>
  <c r="A94" i="56"/>
  <c r="A95" i="56"/>
  <c r="A92" i="56"/>
  <c r="A93" i="56"/>
  <c r="A96" i="56"/>
  <c r="A97" i="56"/>
  <c r="A98" i="56"/>
  <c r="A100" i="56"/>
  <c r="A113" i="56"/>
  <c r="A114" i="56"/>
  <c r="A115" i="56"/>
  <c r="A116" i="56"/>
  <c r="A118" i="56"/>
  <c r="A117" i="56"/>
  <c r="A119" i="56"/>
  <c r="A120" i="56"/>
  <c r="A121" i="56"/>
  <c r="A122" i="56"/>
  <c r="A112" i="56"/>
  <c r="A51" i="56"/>
  <c r="A53" i="56"/>
  <c r="A54" i="56"/>
  <c r="A55" i="56"/>
  <c r="A47" i="56"/>
  <c r="A56" i="56"/>
  <c r="A46" i="56"/>
  <c r="A48" i="56"/>
  <c r="A49" i="56"/>
  <c r="A50" i="56"/>
  <c r="A52" i="56"/>
  <c r="A75" i="56"/>
  <c r="A77" i="56"/>
  <c r="A78" i="56"/>
  <c r="A68" i="56"/>
  <c r="A70" i="56"/>
  <c r="A71" i="56"/>
  <c r="A69" i="56"/>
  <c r="A72" i="56"/>
  <c r="A73" i="56"/>
  <c r="A74" i="56"/>
  <c r="A76" i="56"/>
  <c r="A202" i="56"/>
  <c r="A200" i="56"/>
  <c r="A203" i="56"/>
  <c r="A201" i="56"/>
  <c r="A204" i="56"/>
  <c r="A205" i="56"/>
  <c r="A206" i="56"/>
  <c r="A207" i="56"/>
  <c r="A208" i="56"/>
  <c r="A209" i="56"/>
  <c r="A210" i="56"/>
  <c r="A15" i="56"/>
  <c r="A17" i="56"/>
  <c r="A18" i="56"/>
  <c r="A19" i="56"/>
  <c r="A20" i="56"/>
  <c r="A21" i="56"/>
  <c r="A22" i="56"/>
  <c r="A23" i="56"/>
  <c r="A13" i="56"/>
  <c r="A14" i="56"/>
  <c r="A16" i="56"/>
  <c r="A111" i="56"/>
  <c r="A101" i="56"/>
  <c r="A102" i="56"/>
  <c r="A103" i="56"/>
  <c r="A104" i="56"/>
  <c r="A105" i="56"/>
  <c r="A106" i="56"/>
  <c r="A107" i="56"/>
  <c r="A108" i="56"/>
  <c r="A109" i="56"/>
  <c r="A110" i="56"/>
  <c r="A63" i="55"/>
  <c r="A66" i="55"/>
  <c r="A64" i="55"/>
  <c r="A65" i="55"/>
  <c r="A67" i="55"/>
  <c r="A62" i="55"/>
  <c r="A2" i="55"/>
  <c r="A3" i="55"/>
  <c r="A4" i="55"/>
  <c r="A5" i="55"/>
  <c r="A6" i="55"/>
  <c r="A7" i="55"/>
  <c r="A15" i="55"/>
  <c r="A16" i="55"/>
  <c r="A17" i="55"/>
  <c r="A18" i="55"/>
  <c r="A19" i="55"/>
  <c r="A14" i="55"/>
  <c r="A57" i="55"/>
  <c r="A58" i="55"/>
  <c r="A59" i="55"/>
  <c r="A60" i="55"/>
  <c r="A61" i="55"/>
  <c r="A56" i="55"/>
  <c r="A92" i="55"/>
  <c r="A93" i="55"/>
  <c r="A94" i="55"/>
  <c r="A95" i="55"/>
  <c r="A96" i="55"/>
  <c r="A97" i="55"/>
  <c r="A44" i="55"/>
  <c r="A45" i="55"/>
  <c r="A46" i="55"/>
  <c r="A47" i="55"/>
  <c r="A48" i="55"/>
  <c r="A49" i="55"/>
  <c r="A32" i="55"/>
  <c r="A33" i="55"/>
  <c r="A34" i="55"/>
  <c r="A35" i="55"/>
  <c r="A36" i="55"/>
  <c r="A37" i="55"/>
  <c r="A20" i="55"/>
  <c r="A22" i="55"/>
  <c r="A23" i="55"/>
  <c r="A24" i="55"/>
  <c r="A25" i="55"/>
  <c r="A21" i="55"/>
  <c r="A75" i="55"/>
  <c r="A76" i="55"/>
  <c r="A78" i="55"/>
  <c r="A79" i="55"/>
  <c r="A77" i="55"/>
  <c r="A74" i="55"/>
  <c r="A39" i="55"/>
  <c r="A42" i="55"/>
  <c r="A43" i="55"/>
  <c r="A40" i="55"/>
  <c r="A41" i="55"/>
  <c r="A38" i="55"/>
  <c r="A87" i="55"/>
  <c r="A91" i="55"/>
  <c r="A88" i="55"/>
  <c r="A89" i="55"/>
  <c r="A90" i="55"/>
  <c r="A86" i="55"/>
  <c r="A111" i="55"/>
  <c r="A112" i="55"/>
  <c r="A114" i="55"/>
  <c r="A113" i="55"/>
  <c r="A115" i="55"/>
  <c r="A110" i="55"/>
  <c r="A116" i="55"/>
  <c r="A117" i="55"/>
  <c r="A118" i="55"/>
  <c r="A119" i="55"/>
  <c r="A120" i="55"/>
  <c r="A121" i="55"/>
  <c r="A81" i="55"/>
  <c r="A82" i="55"/>
  <c r="A83" i="55"/>
  <c r="A84" i="55"/>
  <c r="A85" i="55"/>
  <c r="A80" i="55"/>
  <c r="A51" i="55"/>
  <c r="A55" i="55"/>
  <c r="A52" i="55"/>
  <c r="A53" i="55"/>
  <c r="A54" i="55"/>
  <c r="A50" i="55"/>
  <c r="A104" i="55"/>
  <c r="A105" i="55"/>
  <c r="A106" i="55"/>
  <c r="A107" i="55"/>
  <c r="A108" i="55"/>
  <c r="A109" i="55"/>
  <c r="A99" i="55"/>
  <c r="A102" i="55"/>
  <c r="A100" i="55"/>
  <c r="A103" i="55"/>
  <c r="A101" i="55"/>
  <c r="A98" i="55"/>
  <c r="A68" i="55"/>
  <c r="A70" i="55"/>
  <c r="A71" i="55"/>
  <c r="A72" i="55"/>
  <c r="A73" i="55"/>
  <c r="A69" i="55"/>
  <c r="A27" i="55"/>
  <c r="A28" i="55"/>
  <c r="A30" i="55"/>
  <c r="A31" i="55"/>
  <c r="A29" i="55"/>
  <c r="A26" i="55"/>
  <c r="A8" i="55"/>
  <c r="A9" i="55"/>
  <c r="A10" i="55"/>
  <c r="A11" i="55"/>
  <c r="A12" i="55"/>
  <c r="A13" i="55"/>
  <c r="A27" i="61"/>
  <c r="A16" i="61"/>
  <c r="A28" i="61"/>
  <c r="A17" i="61"/>
  <c r="A29" i="61"/>
  <c r="A18" i="61"/>
  <c r="A19" i="61"/>
  <c r="A20" i="61"/>
  <c r="A22" i="61"/>
  <c r="A23" i="61"/>
  <c r="A24" i="61"/>
  <c r="A25" i="61"/>
  <c r="A26" i="61"/>
  <c r="A21" i="61"/>
  <c r="A2" i="61"/>
  <c r="A3" i="61"/>
  <c r="A15" i="61"/>
  <c r="A4" i="61"/>
  <c r="A5" i="61"/>
  <c r="A6" i="61"/>
  <c r="A7" i="61"/>
  <c r="A8" i="61"/>
  <c r="A9" i="61"/>
  <c r="A10" i="61"/>
  <c r="A11" i="61"/>
  <c r="A12" i="61"/>
  <c r="A13" i="61"/>
  <c r="A14" i="61"/>
  <c r="A39" i="61"/>
  <c r="A40" i="61"/>
  <c r="A41" i="61"/>
  <c r="A30" i="61"/>
  <c r="A42" i="61"/>
  <c r="A31" i="61"/>
  <c r="A43" i="61"/>
  <c r="A32" i="61"/>
  <c r="A34" i="61"/>
  <c r="A35" i="61"/>
  <c r="A36" i="61"/>
  <c r="A37" i="61"/>
  <c r="A38" i="61"/>
  <c r="A33" i="61"/>
  <c r="A135" i="61"/>
  <c r="A136" i="61"/>
  <c r="A137" i="61"/>
  <c r="A138" i="61"/>
  <c r="A139" i="61"/>
  <c r="A128" i="61"/>
  <c r="A140" i="61"/>
  <c r="A130" i="61"/>
  <c r="A131" i="61"/>
  <c r="A132" i="61"/>
  <c r="A133" i="61"/>
  <c r="A134" i="61"/>
  <c r="A141" i="61"/>
  <c r="A129" i="61"/>
  <c r="A159" i="61"/>
  <c r="A160" i="61"/>
  <c r="A161" i="61"/>
  <c r="A162" i="61"/>
  <c r="A163" i="61"/>
  <c r="A164" i="61"/>
  <c r="A166" i="61"/>
  <c r="A167" i="61"/>
  <c r="A156" i="61"/>
  <c r="A168" i="61"/>
  <c r="A157" i="61"/>
  <c r="A169" i="61"/>
  <c r="A158" i="61"/>
  <c r="A165" i="61"/>
  <c r="A147" i="61"/>
  <c r="A148" i="61"/>
  <c r="A149" i="61"/>
  <c r="A150" i="61"/>
  <c r="A151" i="61"/>
  <c r="A152" i="61"/>
  <c r="A142" i="61"/>
  <c r="A154" i="61"/>
  <c r="A143" i="61"/>
  <c r="A155" i="61"/>
  <c r="A144" i="61"/>
  <c r="A145" i="61"/>
  <c r="A146" i="61"/>
  <c r="A153" i="61"/>
  <c r="A231" i="61"/>
  <c r="A232" i="61"/>
  <c r="A233" i="61"/>
  <c r="A234" i="61"/>
  <c r="A235" i="61"/>
  <c r="A236" i="61"/>
  <c r="A226" i="61"/>
  <c r="A238" i="61"/>
  <c r="A227" i="61"/>
  <c r="A239" i="61"/>
  <c r="A228" i="61"/>
  <c r="A229" i="61"/>
  <c r="A230" i="61"/>
  <c r="A237" i="61"/>
  <c r="A51" i="61"/>
  <c r="A52" i="61"/>
  <c r="A53" i="61"/>
  <c r="A54" i="61"/>
  <c r="A55" i="61"/>
  <c r="A44" i="61"/>
  <c r="A56" i="61"/>
  <c r="A46" i="61"/>
  <c r="A47" i="61"/>
  <c r="A48" i="61"/>
  <c r="A49" i="61"/>
  <c r="A50" i="61"/>
  <c r="A45" i="61"/>
  <c r="A57" i="61"/>
  <c r="A279" i="61"/>
  <c r="A268" i="61"/>
  <c r="A280" i="61"/>
  <c r="A269" i="61"/>
  <c r="A281" i="61"/>
  <c r="A270" i="61"/>
  <c r="A271" i="61"/>
  <c r="A272" i="61"/>
  <c r="A274" i="61"/>
  <c r="A275" i="61"/>
  <c r="A276" i="61"/>
  <c r="A277" i="61"/>
  <c r="A278" i="61"/>
  <c r="A273" i="61"/>
  <c r="A219" i="61"/>
  <c r="A220" i="61"/>
  <c r="A221" i="61"/>
  <c r="A222" i="61"/>
  <c r="A223" i="61"/>
  <c r="A212" i="61"/>
  <c r="A224" i="61"/>
  <c r="A214" i="61"/>
  <c r="A215" i="61"/>
  <c r="A216" i="61"/>
  <c r="A217" i="61"/>
  <c r="A218" i="61"/>
  <c r="A213" i="61"/>
  <c r="A225" i="61"/>
  <c r="A111" i="61"/>
  <c r="A100" i="61"/>
  <c r="A112" i="61"/>
  <c r="A113" i="61"/>
  <c r="A101" i="61"/>
  <c r="A102" i="61"/>
  <c r="A103" i="61"/>
  <c r="A104" i="61"/>
  <c r="A106" i="61"/>
  <c r="A107" i="61"/>
  <c r="A108" i="61"/>
  <c r="A109" i="61"/>
  <c r="A110" i="61"/>
  <c r="A105" i="61"/>
  <c r="A243" i="61"/>
  <c r="A244" i="61"/>
  <c r="A245" i="61"/>
  <c r="A246" i="61"/>
  <c r="A247" i="61"/>
  <c r="A248" i="61"/>
  <c r="A250" i="61"/>
  <c r="A251" i="61"/>
  <c r="A240" i="61"/>
  <c r="A252" i="61"/>
  <c r="A241" i="61"/>
  <c r="A253" i="61"/>
  <c r="A242" i="61"/>
  <c r="A249" i="61"/>
  <c r="A75" i="61"/>
  <c r="A76" i="61"/>
  <c r="A77" i="61"/>
  <c r="A78" i="61"/>
  <c r="A79" i="61"/>
  <c r="A80" i="61"/>
  <c r="A82" i="61"/>
  <c r="A83" i="61"/>
  <c r="A72" i="61"/>
  <c r="A84" i="61"/>
  <c r="A73" i="61"/>
  <c r="A85" i="61"/>
  <c r="A74" i="61"/>
  <c r="A81" i="61"/>
  <c r="A171" i="61"/>
  <c r="A183" i="61"/>
  <c r="A172" i="61"/>
  <c r="A173" i="61"/>
  <c r="A174" i="61"/>
  <c r="A176" i="61"/>
  <c r="A178" i="61"/>
  <c r="A179" i="61"/>
  <c r="A180" i="61"/>
  <c r="A181" i="61"/>
  <c r="A170" i="61"/>
  <c r="A182" i="61"/>
  <c r="A175" i="61"/>
  <c r="A177" i="61"/>
  <c r="A63" i="61"/>
  <c r="A64" i="61"/>
  <c r="A65" i="61"/>
  <c r="A66" i="61"/>
  <c r="A67" i="61"/>
  <c r="A68" i="61"/>
  <c r="A58" i="61"/>
  <c r="A70" i="61"/>
  <c r="A59" i="61"/>
  <c r="A71" i="61"/>
  <c r="A60" i="61"/>
  <c r="A61" i="61"/>
  <c r="A62" i="61"/>
  <c r="A69" i="61"/>
  <c r="A87" i="61"/>
  <c r="A99" i="61"/>
  <c r="A88" i="61"/>
  <c r="A89" i="61"/>
  <c r="A90" i="61"/>
  <c r="A91" i="61"/>
  <c r="A92" i="61"/>
  <c r="A94" i="61"/>
  <c r="A95" i="61"/>
  <c r="A96" i="61"/>
  <c r="A97" i="61"/>
  <c r="A86" i="61"/>
  <c r="A98" i="61"/>
  <c r="A93" i="61"/>
  <c r="A207" i="61"/>
  <c r="A208" i="61"/>
  <c r="A209" i="61"/>
  <c r="A198" i="61"/>
  <c r="A210" i="61"/>
  <c r="A199" i="61"/>
  <c r="A211" i="61"/>
  <c r="A200" i="61"/>
  <c r="A202" i="61"/>
  <c r="A203" i="61"/>
  <c r="A204" i="61"/>
  <c r="A205" i="61"/>
  <c r="A206" i="61"/>
  <c r="A201" i="61"/>
  <c r="A255" i="61"/>
  <c r="A267" i="61"/>
  <c r="A256" i="61"/>
  <c r="A257" i="61"/>
  <c r="A258" i="61"/>
  <c r="A259" i="61"/>
  <c r="A260" i="61"/>
  <c r="A262" i="61"/>
  <c r="A263" i="61"/>
  <c r="A264" i="61"/>
  <c r="A265" i="61"/>
  <c r="A254" i="61"/>
  <c r="A266" i="61"/>
  <c r="A261" i="61"/>
  <c r="A195" i="61"/>
  <c r="A184" i="61"/>
  <c r="A196" i="61"/>
  <c r="A185" i="61"/>
  <c r="A197" i="61"/>
  <c r="A186" i="61"/>
  <c r="A187" i="61"/>
  <c r="A188" i="61"/>
  <c r="A190" i="61"/>
  <c r="A191" i="61"/>
  <c r="A192" i="61"/>
  <c r="A193" i="61"/>
  <c r="A194" i="61"/>
  <c r="A189" i="61"/>
  <c r="A123" i="61"/>
  <c r="A124" i="61"/>
  <c r="A125" i="61"/>
  <c r="A114" i="61"/>
  <c r="A126" i="61"/>
  <c r="A115" i="61"/>
  <c r="A127" i="61"/>
  <c r="A116" i="61"/>
  <c r="A118" i="61"/>
  <c r="A119" i="61"/>
  <c r="A120" i="61"/>
  <c r="A121" i="61"/>
  <c r="A122" i="61"/>
  <c r="A117" i="61"/>
  <c r="A555" i="54"/>
  <c r="A567" i="54"/>
  <c r="A579" i="54"/>
  <c r="A556" i="54"/>
  <c r="A568" i="54"/>
  <c r="A552" i="54"/>
  <c r="A564" i="54"/>
  <c r="A576" i="54"/>
  <c r="A553" i="54"/>
  <c r="A565" i="54"/>
  <c r="A577" i="54"/>
  <c r="A559" i="54"/>
  <c r="A575" i="54"/>
  <c r="A560" i="54"/>
  <c r="A578" i="54"/>
  <c r="A561" i="54"/>
  <c r="A546" i="54"/>
  <c r="A562" i="54"/>
  <c r="A547" i="54"/>
  <c r="A563" i="54"/>
  <c r="A548" i="54"/>
  <c r="A566" i="54"/>
  <c r="A549" i="54"/>
  <c r="A569" i="54"/>
  <c r="A550" i="54"/>
  <c r="A570" i="54"/>
  <c r="A557" i="54"/>
  <c r="A573" i="54"/>
  <c r="A551" i="54"/>
  <c r="A554" i="54"/>
  <c r="A558" i="54"/>
  <c r="A571" i="54"/>
  <c r="A572" i="54"/>
  <c r="A574" i="54"/>
  <c r="A279" i="54"/>
  <c r="A291" i="54"/>
  <c r="A303" i="54"/>
  <c r="A280" i="54"/>
  <c r="A292" i="54"/>
  <c r="A304" i="54"/>
  <c r="A282" i="54"/>
  <c r="A294" i="54"/>
  <c r="A306" i="54"/>
  <c r="A283" i="54"/>
  <c r="A295" i="54"/>
  <c r="A307" i="54"/>
  <c r="A284" i="54"/>
  <c r="A296" i="54"/>
  <c r="A274" i="54"/>
  <c r="A286" i="54"/>
  <c r="A298" i="54"/>
  <c r="A276" i="54"/>
  <c r="A288" i="54"/>
  <c r="A300" i="54"/>
  <c r="A277" i="54"/>
  <c r="A289" i="54"/>
  <c r="A301" i="54"/>
  <c r="A278" i="54"/>
  <c r="A290" i="54"/>
  <c r="A302" i="54"/>
  <c r="A275" i="54"/>
  <c r="A281" i="54"/>
  <c r="A285" i="54"/>
  <c r="A287" i="54"/>
  <c r="A293" i="54"/>
  <c r="A297" i="54"/>
  <c r="A299" i="54"/>
  <c r="A305" i="54"/>
  <c r="A651" i="54"/>
  <c r="A663" i="54"/>
  <c r="A675" i="54"/>
  <c r="A652" i="54"/>
  <c r="A664" i="54"/>
  <c r="A676" i="54"/>
  <c r="A648" i="54"/>
  <c r="A660" i="54"/>
  <c r="A672" i="54"/>
  <c r="A649" i="54"/>
  <c r="A661" i="54"/>
  <c r="A673" i="54"/>
  <c r="A667" i="54"/>
  <c r="A650" i="54"/>
  <c r="A668" i="54"/>
  <c r="A653" i="54"/>
  <c r="A669" i="54"/>
  <c r="A654" i="54"/>
  <c r="A670" i="54"/>
  <c r="A655" i="54"/>
  <c r="A671" i="54"/>
  <c r="A656" i="54"/>
  <c r="A674" i="54"/>
  <c r="A657" i="54"/>
  <c r="A677" i="54"/>
  <c r="A658" i="54"/>
  <c r="A678" i="54"/>
  <c r="A665" i="54"/>
  <c r="A681" i="54"/>
  <c r="A659" i="54"/>
  <c r="A662" i="54"/>
  <c r="A666" i="54"/>
  <c r="A679" i="54"/>
  <c r="A680" i="54"/>
  <c r="A615" i="54"/>
  <c r="A627" i="54"/>
  <c r="A639" i="54"/>
  <c r="A616" i="54"/>
  <c r="A628" i="54"/>
  <c r="A640" i="54"/>
  <c r="A624" i="54"/>
  <c r="A636" i="54"/>
  <c r="A625" i="54"/>
  <c r="A637" i="54"/>
  <c r="A631" i="54"/>
  <c r="A647" i="54"/>
  <c r="A614" i="54"/>
  <c r="A632" i="54"/>
  <c r="A617" i="54"/>
  <c r="A633" i="54"/>
  <c r="A618" i="54"/>
  <c r="A634" i="54"/>
  <c r="A619" i="54"/>
  <c r="A635" i="54"/>
  <c r="A620" i="54"/>
  <c r="A638" i="54"/>
  <c r="A621" i="54"/>
  <c r="A641" i="54"/>
  <c r="A622" i="54"/>
  <c r="A642" i="54"/>
  <c r="A629" i="54"/>
  <c r="A645" i="54"/>
  <c r="A623" i="54"/>
  <c r="A626" i="54"/>
  <c r="A630" i="54"/>
  <c r="A643" i="54"/>
  <c r="A644" i="54"/>
  <c r="A646" i="54"/>
  <c r="A243" i="54"/>
  <c r="A255" i="54"/>
  <c r="A267" i="54"/>
  <c r="A244" i="54"/>
  <c r="A256" i="54"/>
  <c r="A268" i="54"/>
  <c r="A245" i="54"/>
  <c r="A257" i="54"/>
  <c r="A269" i="54"/>
  <c r="A246" i="54"/>
  <c r="A258" i="54"/>
  <c r="A270" i="54"/>
  <c r="A247" i="54"/>
  <c r="A259" i="54"/>
  <c r="A271" i="54"/>
  <c r="A248" i="54"/>
  <c r="A260" i="54"/>
  <c r="A272" i="54"/>
  <c r="A250" i="54"/>
  <c r="A262" i="54"/>
  <c r="A240" i="54"/>
  <c r="A252" i="54"/>
  <c r="A264" i="54"/>
  <c r="A241" i="54"/>
  <c r="A253" i="54"/>
  <c r="A265" i="54"/>
  <c r="A242" i="54"/>
  <c r="A254" i="54"/>
  <c r="A266" i="54"/>
  <c r="A273" i="54"/>
  <c r="A249" i="54"/>
  <c r="A251" i="54"/>
  <c r="A261" i="54"/>
  <c r="A263" i="54"/>
  <c r="A315" i="54"/>
  <c r="A327" i="54"/>
  <c r="A339" i="54"/>
  <c r="A316" i="54"/>
  <c r="A328" i="54"/>
  <c r="A340" i="54"/>
  <c r="A318" i="54"/>
  <c r="A330" i="54"/>
  <c r="A319" i="54"/>
  <c r="A331" i="54"/>
  <c r="A308" i="54"/>
  <c r="A320" i="54"/>
  <c r="A332" i="54"/>
  <c r="A310" i="54"/>
  <c r="A322" i="54"/>
  <c r="A334" i="54"/>
  <c r="A312" i="54"/>
  <c r="A324" i="54"/>
  <c r="A336" i="54"/>
  <c r="A313" i="54"/>
  <c r="A325" i="54"/>
  <c r="A337" i="54"/>
  <c r="A314" i="54"/>
  <c r="A326" i="54"/>
  <c r="A338" i="54"/>
  <c r="A321" i="54"/>
  <c r="A323" i="54"/>
  <c r="A329" i="54"/>
  <c r="A333" i="54"/>
  <c r="A335" i="54"/>
  <c r="A341" i="54"/>
  <c r="A309" i="54"/>
  <c r="A311" i="54"/>
  <c r="A317" i="54"/>
  <c r="A75" i="54"/>
  <c r="A87" i="54"/>
  <c r="A99" i="54"/>
  <c r="A76" i="54"/>
  <c r="A88" i="54"/>
  <c r="A100" i="54"/>
  <c r="A77" i="54"/>
  <c r="A89" i="54"/>
  <c r="A101" i="54"/>
  <c r="A78" i="54"/>
  <c r="A90" i="54"/>
  <c r="A102" i="54"/>
  <c r="A79" i="54"/>
  <c r="A91" i="54"/>
  <c r="A103" i="54"/>
  <c r="A80" i="54"/>
  <c r="A92" i="54"/>
  <c r="A81" i="54"/>
  <c r="A93" i="54"/>
  <c r="A70" i="54"/>
  <c r="A82" i="54"/>
  <c r="A94" i="54"/>
  <c r="A72" i="54"/>
  <c r="A84" i="54"/>
  <c r="A96" i="54"/>
  <c r="A73" i="54"/>
  <c r="A85" i="54"/>
  <c r="A97" i="54"/>
  <c r="A74" i="54"/>
  <c r="A86" i="54"/>
  <c r="A98" i="54"/>
  <c r="A71" i="54"/>
  <c r="A83" i="54"/>
  <c r="A95" i="54"/>
  <c r="A207" i="54"/>
  <c r="A219" i="54"/>
  <c r="A231" i="54"/>
  <c r="A208" i="54"/>
  <c r="A220" i="54"/>
  <c r="A232" i="54"/>
  <c r="A209" i="54"/>
  <c r="A221" i="54"/>
  <c r="A233" i="54"/>
  <c r="A210" i="54"/>
  <c r="A222" i="54"/>
  <c r="A234" i="54"/>
  <c r="A211" i="54"/>
  <c r="A223" i="54"/>
  <c r="A235" i="54"/>
  <c r="A212" i="54"/>
  <c r="A224" i="54"/>
  <c r="A236" i="54"/>
  <c r="A213" i="54"/>
  <c r="A225" i="54"/>
  <c r="A214" i="54"/>
  <c r="A226" i="54"/>
  <c r="A238" i="54"/>
  <c r="A216" i="54"/>
  <c r="A228" i="54"/>
  <c r="A217" i="54"/>
  <c r="A229" i="54"/>
  <c r="A206" i="54"/>
  <c r="A218" i="54"/>
  <c r="A230" i="54"/>
  <c r="A215" i="54"/>
  <c r="A227" i="54"/>
  <c r="A237" i="54"/>
  <c r="A239" i="54"/>
  <c r="A447" i="54"/>
  <c r="A459" i="54"/>
  <c r="A471" i="54"/>
  <c r="A448" i="54"/>
  <c r="A460" i="54"/>
  <c r="A472" i="54"/>
  <c r="A444" i="54"/>
  <c r="A456" i="54"/>
  <c r="A468" i="54"/>
  <c r="A445" i="54"/>
  <c r="A457" i="54"/>
  <c r="A469" i="54"/>
  <c r="A451" i="54"/>
  <c r="A467" i="54"/>
  <c r="A452" i="54"/>
  <c r="A470" i="54"/>
  <c r="A453" i="54"/>
  <c r="A473" i="54"/>
  <c r="A454" i="54"/>
  <c r="A474" i="54"/>
  <c r="A455" i="54"/>
  <c r="A475" i="54"/>
  <c r="A458" i="54"/>
  <c r="A476" i="54"/>
  <c r="A461" i="54"/>
  <c r="A477" i="54"/>
  <c r="A462" i="54"/>
  <c r="A463" i="54"/>
  <c r="A449" i="54"/>
  <c r="A465" i="54"/>
  <c r="A446" i="54"/>
  <c r="A450" i="54"/>
  <c r="A464" i="54"/>
  <c r="A466" i="54"/>
  <c r="A483" i="54"/>
  <c r="A495" i="54"/>
  <c r="A507" i="54"/>
  <c r="A484" i="54"/>
  <c r="A496" i="54"/>
  <c r="A508" i="54"/>
  <c r="A480" i="54"/>
  <c r="A492" i="54"/>
  <c r="A504" i="54"/>
  <c r="A481" i="54"/>
  <c r="A493" i="54"/>
  <c r="A505" i="54"/>
  <c r="A487" i="54"/>
  <c r="A503" i="54"/>
  <c r="A488" i="54"/>
  <c r="A506" i="54"/>
  <c r="A489" i="54"/>
  <c r="A509" i="54"/>
  <c r="A490" i="54"/>
  <c r="A510" i="54"/>
  <c r="A491" i="54"/>
  <c r="A511" i="54"/>
  <c r="A494" i="54"/>
  <c r="A497" i="54"/>
  <c r="A478" i="54"/>
  <c r="A498" i="54"/>
  <c r="A485" i="54"/>
  <c r="A501" i="54"/>
  <c r="A479" i="54"/>
  <c r="A482" i="54"/>
  <c r="A486" i="54"/>
  <c r="A499" i="54"/>
  <c r="A500" i="54"/>
  <c r="A502" i="54"/>
  <c r="A111" i="54"/>
  <c r="A123" i="54"/>
  <c r="A135" i="54"/>
  <c r="A112" i="54"/>
  <c r="A124" i="54"/>
  <c r="A136" i="54"/>
  <c r="A113" i="54"/>
  <c r="A125" i="54"/>
  <c r="A137" i="54"/>
  <c r="A114" i="54"/>
  <c r="A126" i="54"/>
  <c r="A115" i="54"/>
  <c r="A127" i="54"/>
  <c r="A104" i="54"/>
  <c r="A116" i="54"/>
  <c r="A128" i="54"/>
  <c r="A105" i="54"/>
  <c r="A117" i="54"/>
  <c r="A129" i="54"/>
  <c r="A106" i="54"/>
  <c r="A118" i="54"/>
  <c r="A130" i="54"/>
  <c r="A108" i="54"/>
  <c r="A120" i="54"/>
  <c r="A132" i="54"/>
  <c r="A109" i="54"/>
  <c r="A121" i="54"/>
  <c r="A133" i="54"/>
  <c r="A110" i="54"/>
  <c r="A122" i="54"/>
  <c r="A134" i="54"/>
  <c r="A107" i="54"/>
  <c r="A119" i="54"/>
  <c r="A131" i="54"/>
  <c r="A519" i="54"/>
  <c r="A531" i="54"/>
  <c r="A543" i="54"/>
  <c r="A520" i="54"/>
  <c r="A532" i="54"/>
  <c r="A544" i="54"/>
  <c r="A516" i="54"/>
  <c r="A528" i="54"/>
  <c r="A540" i="54"/>
  <c r="A517" i="54"/>
  <c r="A529" i="54"/>
  <c r="A541" i="54"/>
  <c r="A523" i="54"/>
  <c r="A539" i="54"/>
  <c r="A524" i="54"/>
  <c r="A542" i="54"/>
  <c r="A525" i="54"/>
  <c r="A545" i="54"/>
  <c r="A526" i="54"/>
  <c r="A527" i="54"/>
  <c r="A512" i="54"/>
  <c r="A530" i="54"/>
  <c r="A513" i="54"/>
  <c r="A533" i="54"/>
  <c r="A514" i="54"/>
  <c r="A534" i="54"/>
  <c r="A521" i="54"/>
  <c r="A537" i="54"/>
  <c r="A515" i="54"/>
  <c r="A518" i="54"/>
  <c r="A522" i="54"/>
  <c r="A535" i="54"/>
  <c r="A536" i="54"/>
  <c r="A538" i="54"/>
  <c r="A591" i="54"/>
  <c r="A603" i="54"/>
  <c r="A580" i="54"/>
  <c r="A592" i="54"/>
  <c r="A604" i="54"/>
  <c r="A588" i="54"/>
  <c r="A600" i="54"/>
  <c r="A612" i="54"/>
  <c r="A589" i="54"/>
  <c r="A601" i="54"/>
  <c r="A613" i="54"/>
  <c r="A595" i="54"/>
  <c r="A611" i="54"/>
  <c r="A596" i="54"/>
  <c r="A581" i="54"/>
  <c r="A597" i="54"/>
  <c r="A582" i="54"/>
  <c r="A598" i="54"/>
  <c r="A583" i="54"/>
  <c r="A599" i="54"/>
  <c r="A584" i="54"/>
  <c r="A602" i="54"/>
  <c r="A585" i="54"/>
  <c r="A605" i="54"/>
  <c r="A586" i="54"/>
  <c r="A606" i="54"/>
  <c r="A593" i="54"/>
  <c r="A609" i="54"/>
  <c r="A587" i="54"/>
  <c r="A590" i="54"/>
  <c r="A594" i="54"/>
  <c r="A607" i="54"/>
  <c r="A608" i="54"/>
  <c r="A610" i="54"/>
  <c r="A351" i="54"/>
  <c r="A363" i="54"/>
  <c r="A375" i="54"/>
  <c r="A352" i="54"/>
  <c r="A364" i="54"/>
  <c r="A342" i="54"/>
  <c r="A354" i="54"/>
  <c r="A366" i="54"/>
  <c r="A343" i="54"/>
  <c r="A355" i="54"/>
  <c r="A367" i="54"/>
  <c r="A344" i="54"/>
  <c r="A356" i="54"/>
  <c r="A368" i="54"/>
  <c r="A348" i="54"/>
  <c r="A360" i="54"/>
  <c r="A372" i="54"/>
  <c r="A349" i="54"/>
  <c r="A361" i="54"/>
  <c r="A373" i="54"/>
  <c r="A350" i="54"/>
  <c r="A362" i="54"/>
  <c r="A374" i="54"/>
  <c r="A359" i="54"/>
  <c r="A365" i="54"/>
  <c r="A369" i="54"/>
  <c r="A370" i="54"/>
  <c r="A371" i="54"/>
  <c r="A345" i="54"/>
  <c r="A346" i="54"/>
  <c r="A347" i="54"/>
  <c r="A353" i="54"/>
  <c r="A357" i="54"/>
  <c r="A358" i="54"/>
  <c r="A183" i="54"/>
  <c r="A195" i="54"/>
  <c r="A172" i="54"/>
  <c r="A184" i="54"/>
  <c r="A196" i="54"/>
  <c r="A173" i="54"/>
  <c r="A185" i="54"/>
  <c r="A197" i="54"/>
  <c r="A174" i="54"/>
  <c r="A186" i="54"/>
  <c r="A198" i="54"/>
  <c r="A175" i="54"/>
  <c r="A187" i="54"/>
  <c r="A199" i="54"/>
  <c r="A176" i="54"/>
  <c r="A188" i="54"/>
  <c r="A200" i="54"/>
  <c r="A177" i="54"/>
  <c r="A189" i="54"/>
  <c r="A201" i="54"/>
  <c r="A178" i="54"/>
  <c r="A190" i="54"/>
  <c r="A202" i="54"/>
  <c r="A180" i="54"/>
  <c r="A192" i="54"/>
  <c r="A204" i="54"/>
  <c r="A181" i="54"/>
  <c r="A193" i="54"/>
  <c r="A205" i="54"/>
  <c r="A182" i="54"/>
  <c r="A194" i="54"/>
  <c r="A179" i="54"/>
  <c r="A191" i="54"/>
  <c r="A203" i="54"/>
  <c r="A3" i="54"/>
  <c r="A15" i="54"/>
  <c r="A27" i="54"/>
  <c r="A4" i="54"/>
  <c r="A16" i="54"/>
  <c r="A28" i="54"/>
  <c r="A5" i="54"/>
  <c r="A17" i="54"/>
  <c r="A29" i="54"/>
  <c r="A6" i="54"/>
  <c r="A18" i="54"/>
  <c r="A30" i="54"/>
  <c r="A7" i="54"/>
  <c r="A19" i="54"/>
  <c r="A31" i="54"/>
  <c r="A8" i="54"/>
  <c r="A20" i="54"/>
  <c r="A32" i="54"/>
  <c r="A9" i="54"/>
  <c r="A21" i="54"/>
  <c r="A33" i="54"/>
  <c r="A10" i="54"/>
  <c r="A22" i="54"/>
  <c r="A34" i="54"/>
  <c r="A11" i="54"/>
  <c r="A12" i="54"/>
  <c r="A24" i="54"/>
  <c r="A13" i="54"/>
  <c r="A25" i="54"/>
  <c r="A14" i="54"/>
  <c r="A26" i="54"/>
  <c r="A23" i="54"/>
  <c r="A387" i="54"/>
  <c r="A399" i="54"/>
  <c r="A376" i="54"/>
  <c r="A388" i="54"/>
  <c r="A400" i="54"/>
  <c r="A378" i="54"/>
  <c r="A379" i="54"/>
  <c r="A391" i="54"/>
  <c r="A403" i="54"/>
  <c r="A380" i="54"/>
  <c r="A392" i="54"/>
  <c r="A404" i="54"/>
  <c r="A384" i="54"/>
  <c r="A396" i="54"/>
  <c r="A408" i="54"/>
  <c r="A385" i="54"/>
  <c r="A397" i="54"/>
  <c r="A409" i="54"/>
  <c r="A393" i="54"/>
  <c r="A394" i="54"/>
  <c r="A395" i="54"/>
  <c r="A398" i="54"/>
  <c r="A401" i="54"/>
  <c r="A377" i="54"/>
  <c r="A402" i="54"/>
  <c r="A381" i="54"/>
  <c r="A405" i="54"/>
  <c r="A382" i="54"/>
  <c r="A406" i="54"/>
  <c r="A383" i="54"/>
  <c r="A407" i="54"/>
  <c r="A386" i="54"/>
  <c r="A389" i="54"/>
  <c r="A390" i="54"/>
  <c r="A39" i="54"/>
  <c r="A51" i="54"/>
  <c r="A63" i="54"/>
  <c r="A40" i="54"/>
  <c r="A52" i="54"/>
  <c r="A64" i="54"/>
  <c r="A41" i="54"/>
  <c r="A53" i="54"/>
  <c r="A65" i="54"/>
  <c r="A42" i="54"/>
  <c r="A54" i="54"/>
  <c r="A66" i="54"/>
  <c r="A43" i="54"/>
  <c r="A55" i="54"/>
  <c r="A67" i="54"/>
  <c r="A44" i="54"/>
  <c r="A56" i="54"/>
  <c r="A68" i="54"/>
  <c r="A45" i="54"/>
  <c r="A57" i="54"/>
  <c r="A69" i="54"/>
  <c r="A46" i="54"/>
  <c r="A58" i="54"/>
  <c r="A36" i="54"/>
  <c r="A48" i="54"/>
  <c r="A60" i="54"/>
  <c r="A37" i="54"/>
  <c r="A49" i="54"/>
  <c r="A61" i="54"/>
  <c r="A38" i="54"/>
  <c r="A50" i="54"/>
  <c r="A62" i="54"/>
  <c r="A47" i="54"/>
  <c r="A59" i="54"/>
  <c r="A411" i="54"/>
  <c r="A423" i="54"/>
  <c r="A435" i="54"/>
  <c r="A412" i="54"/>
  <c r="A424" i="54"/>
  <c r="A436" i="54"/>
  <c r="A420" i="54"/>
  <c r="A432" i="54"/>
  <c r="A421" i="54"/>
  <c r="A433" i="54"/>
  <c r="A415" i="54"/>
  <c r="A431" i="54"/>
  <c r="A416" i="54"/>
  <c r="A434" i="54"/>
  <c r="A417" i="54"/>
  <c r="A437" i="54"/>
  <c r="A418" i="54"/>
  <c r="A438" i="54"/>
  <c r="A419" i="54"/>
  <c r="A439" i="54"/>
  <c r="A422" i="54"/>
  <c r="A440" i="54"/>
  <c r="A425" i="54"/>
  <c r="A441" i="54"/>
  <c r="A426" i="54"/>
  <c r="A442" i="54"/>
  <c r="A427" i="54"/>
  <c r="A443" i="54"/>
  <c r="A413" i="54"/>
  <c r="A429" i="54"/>
  <c r="A410" i="54"/>
  <c r="A414" i="54"/>
  <c r="A428" i="54"/>
  <c r="A430" i="54"/>
  <c r="A147" i="54"/>
  <c r="A159" i="54"/>
  <c r="A171" i="54"/>
  <c r="A148" i="54"/>
  <c r="A160" i="54"/>
  <c r="A149" i="54"/>
  <c r="A161" i="54"/>
  <c r="A138" i="54"/>
  <c r="A150" i="54"/>
  <c r="A162" i="54"/>
  <c r="A139" i="54"/>
  <c r="A151" i="54"/>
  <c r="A163" i="54"/>
  <c r="A140" i="54"/>
  <c r="A152" i="54"/>
  <c r="A164" i="54"/>
  <c r="A141" i="54"/>
  <c r="A153" i="54"/>
  <c r="A165" i="54"/>
  <c r="A142" i="54"/>
  <c r="A154" i="54"/>
  <c r="A166" i="54"/>
  <c r="A144" i="54"/>
  <c r="A156" i="54"/>
  <c r="A168" i="54"/>
  <c r="A145" i="54"/>
  <c r="A157" i="54"/>
  <c r="A169" i="54"/>
  <c r="A146" i="54"/>
  <c r="A158" i="54"/>
  <c r="A170" i="54"/>
  <c r="A167" i="54"/>
  <c r="A143" i="54"/>
  <c r="A155" i="54"/>
  <c r="D41" i="56" a="1"/>
  <c r="D126" i="56" a="1"/>
  <c r="D5" i="56" a="1"/>
  <c r="D213" i="56" a="1"/>
  <c r="D169" i="56" a="1"/>
  <c r="D81" i="56" a="1"/>
  <c r="D24" i="56" a="1"/>
  <c r="D184" i="56" a="1"/>
  <c r="D195" i="56" a="1"/>
  <c r="D64" i="56" a="1"/>
  <c r="D135" i="56" a="1"/>
  <c r="D152" i="56" a="1"/>
  <c r="D91" i="56" a="1"/>
  <c r="D116" i="56" a="1"/>
  <c r="D47" i="56" a="1"/>
  <c r="D71" i="56" a="1"/>
  <c r="D206" i="56" a="1"/>
  <c r="D23" i="56" a="1"/>
  <c r="D108" i="56" a="1"/>
  <c r="D5" i="55" a="1"/>
  <c r="D42" i="56" a="1"/>
  <c r="D127" i="56" a="1"/>
  <c r="D6" i="56" a="1"/>
  <c r="D216" i="56" a="1"/>
  <c r="D171" i="56" a="1"/>
  <c r="D84" i="56" a="1"/>
  <c r="D25" i="56" a="1"/>
  <c r="D185" i="56" a="1"/>
  <c r="D196" i="56" a="1"/>
  <c r="D163" i="56" a="1"/>
  <c r="D137" i="56" a="1"/>
  <c r="D153" i="56" a="1"/>
  <c r="D94" i="56" a="1"/>
  <c r="D118" i="56" a="1"/>
  <c r="D56" i="56" a="1"/>
  <c r="D69" i="56" a="1"/>
  <c r="D207" i="56" a="1"/>
  <c r="D13" i="56" a="1"/>
  <c r="D109" i="56" a="1"/>
  <c r="D6" i="55" a="1"/>
  <c r="D61" i="55" a="1"/>
  <c r="D48" i="55" a="1"/>
  <c r="D25" i="55" a="1"/>
  <c r="D41" i="55" a="1"/>
  <c r="D115" i="55" a="1"/>
  <c r="D85" i="55" a="1"/>
  <c r="D108" i="55" a="1"/>
  <c r="D73" i="55" a="1"/>
  <c r="D12" i="55" a="1"/>
  <c r="D43" i="56" a="1"/>
  <c r="D130" i="56" a="1"/>
  <c r="D7" i="56" a="1"/>
  <c r="D217" i="56" a="1"/>
  <c r="D172" i="56" a="1"/>
  <c r="D85" i="56" a="1"/>
  <c r="D26" i="56" a="1"/>
  <c r="D186" i="56" a="1"/>
  <c r="D63" i="56" a="1"/>
  <c r="D166" i="56" a="1"/>
  <c r="D139" i="56" a="1"/>
  <c r="D154" i="56" a="1"/>
  <c r="D95" i="56" a="1"/>
  <c r="D117" i="56" a="1"/>
  <c r="D46" i="56" a="1"/>
  <c r="D72" i="56" a="1"/>
  <c r="D208" i="56" a="1"/>
  <c r="D14" i="56" a="1"/>
  <c r="D110" i="56" a="1"/>
  <c r="D7" i="55" a="1"/>
  <c r="D56" i="55" a="1"/>
  <c r="D49" i="55" a="1"/>
  <c r="D21" i="55" a="1"/>
  <c r="D38" i="55" a="1"/>
  <c r="D110" i="55" a="1"/>
  <c r="D80" i="55" a="1"/>
  <c r="D109" i="55" a="1"/>
  <c r="D69" i="55" a="1"/>
  <c r="D13" i="55" a="1"/>
  <c r="D44" i="56" a="1"/>
  <c r="D128" i="56" a="1"/>
  <c r="D8" i="56" a="1"/>
  <c r="D218" i="56" a="1"/>
  <c r="D173" i="56" a="1"/>
  <c r="D86" i="56" a="1"/>
  <c r="D28" i="56" a="1"/>
  <c r="D199" i="56" a="1"/>
  <c r="D65" i="56" a="1"/>
  <c r="D164" i="56" a="1"/>
  <c r="D143" i="56" a="1"/>
  <c r="D155" i="56" a="1"/>
  <c r="D92" i="56" a="1"/>
  <c r="D119" i="56" a="1"/>
  <c r="D48" i="56" a="1"/>
  <c r="D73" i="56" a="1"/>
  <c r="D209" i="56" a="1"/>
  <c r="D16" i="56" a="1"/>
  <c r="D63" i="55" a="1"/>
  <c r="D15" i="55" a="1"/>
  <c r="D92" i="55" a="1"/>
  <c r="D32" i="55" a="1"/>
  <c r="D75" i="55" a="1"/>
  <c r="D87" i="55" a="1"/>
  <c r="D116" i="55" a="1"/>
  <c r="D51" i="55" a="1"/>
  <c r="D99" i="55" a="1"/>
  <c r="D27" i="55" a="1"/>
  <c r="D45" i="56" a="1"/>
  <c r="D131" i="56" a="1"/>
  <c r="D9" i="56" a="1"/>
  <c r="D219" i="56" a="1"/>
  <c r="D174" i="56" a="1"/>
  <c r="D88" i="56" a="1"/>
  <c r="D187" i="56" a="1"/>
  <c r="D189" i="56" a="1"/>
  <c r="D66" i="56" a="1"/>
  <c r="D165" i="56" a="1"/>
  <c r="D140" i="56" a="1"/>
  <c r="D145" i="56" a="1"/>
  <c r="D93" i="56" a="1"/>
  <c r="D120" i="56" a="1"/>
  <c r="D49" i="56" a="1"/>
  <c r="D74" i="56" a="1"/>
  <c r="D210" i="56" a="1"/>
  <c r="D111" i="56" a="1"/>
  <c r="D66" i="55" a="1"/>
  <c r="D16" i="55" a="1"/>
  <c r="D93" i="55" a="1"/>
  <c r="D33" i="55" a="1"/>
  <c r="D76" i="55" a="1"/>
  <c r="D91" i="55" a="1"/>
  <c r="D117" i="55" a="1"/>
  <c r="D55" i="55" a="1"/>
  <c r="D102" i="55" a="1"/>
  <c r="D28" i="55" a="1"/>
  <c r="D198" i="56" a="1"/>
  <c r="D99" i="56" a="1"/>
  <c r="D68" i="56" a="1"/>
  <c r="D106" i="56" a="1"/>
  <c r="D45" i="55" a="1"/>
  <c r="D35" i="56" a="1"/>
  <c r="D129" i="56" a="1"/>
  <c r="D10" i="56" a="1"/>
  <c r="D220" i="56" a="1"/>
  <c r="D170" i="56" a="1"/>
  <c r="D27" i="56" a="1"/>
  <c r="D179" i="56" a="1"/>
  <c r="D190" i="56" a="1"/>
  <c r="D67" i="56" a="1"/>
  <c r="D156" i="56" a="1"/>
  <c r="D142" i="56" a="1"/>
  <c r="D146" i="56" a="1"/>
  <c r="D96" i="56" a="1"/>
  <c r="D121" i="56" a="1"/>
  <c r="D50" i="56" a="1"/>
  <c r="D76" i="56" a="1"/>
  <c r="D15" i="56" a="1"/>
  <c r="D101" i="56" a="1"/>
  <c r="D64" i="55" a="1"/>
  <c r="D17" i="55" a="1"/>
  <c r="D94" i="55" a="1"/>
  <c r="D34" i="55" a="1"/>
  <c r="D78" i="55" a="1"/>
  <c r="D88" i="55" a="1"/>
  <c r="D118" i="55" a="1"/>
  <c r="D52" i="55" a="1"/>
  <c r="D100" i="55" a="1"/>
  <c r="D30" i="55" a="1"/>
  <c r="D82" i="56" a="1"/>
  <c r="D114" i="56" a="1"/>
  <c r="D204" i="56" a="1"/>
  <c r="D3" i="55" a="1"/>
  <c r="D22" i="55" a="1"/>
  <c r="D42" i="55" a="1"/>
  <c r="D112" i="55" a="1"/>
  <c r="D82" i="55" a="1"/>
  <c r="D105" i="55" a="1"/>
  <c r="D70" i="55" a="1"/>
  <c r="D36" i="56" a="1"/>
  <c r="D132" i="56" a="1"/>
  <c r="D11" i="56" a="1"/>
  <c r="D221" i="56" a="1"/>
  <c r="D87" i="56" a="1"/>
  <c r="D29" i="56" a="1"/>
  <c r="D188" i="56" a="1"/>
  <c r="D191" i="56" a="1"/>
  <c r="D58" i="56" a="1"/>
  <c r="D157" i="56" a="1"/>
  <c r="D141" i="56" a="1"/>
  <c r="D147" i="56" a="1"/>
  <c r="D97" i="56" a="1"/>
  <c r="D122" i="56" a="1"/>
  <c r="D52" i="56" a="1"/>
  <c r="D202" i="56" a="1"/>
  <c r="D17" i="56" a="1"/>
  <c r="D102" i="56" a="1"/>
  <c r="D65" i="55" a="1"/>
  <c r="D18" i="55" a="1"/>
  <c r="D95" i="55" a="1"/>
  <c r="D35" i="55" a="1"/>
  <c r="D79" i="55" a="1"/>
  <c r="D89" i="55" a="1"/>
  <c r="D119" i="55" a="1"/>
  <c r="D53" i="55" a="1"/>
  <c r="D103" i="55" a="1"/>
  <c r="D31" i="55" a="1"/>
  <c r="D182" i="56" a="1"/>
  <c r="D37" i="56" a="1"/>
  <c r="D133" i="56" a="1"/>
  <c r="D12" i="56" a="1"/>
  <c r="D175" i="56" a="1"/>
  <c r="D89" i="56" a="1"/>
  <c r="D30" i="56" a="1"/>
  <c r="D178" i="56" a="1"/>
  <c r="D192" i="56" a="1"/>
  <c r="D57" i="56" a="1"/>
  <c r="D158" i="56" a="1"/>
  <c r="D144" i="56" a="1"/>
  <c r="D148" i="56" a="1"/>
  <c r="D98" i="56" a="1"/>
  <c r="D112" i="56" a="1"/>
  <c r="D75" i="56" a="1"/>
  <c r="D200" i="56" a="1"/>
  <c r="D18" i="56" a="1"/>
  <c r="D103" i="56" a="1"/>
  <c r="D67" i="55" a="1"/>
  <c r="D19" i="55" a="1"/>
  <c r="D96" i="55" a="1"/>
  <c r="D36" i="55" a="1"/>
  <c r="D77" i="55" a="1"/>
  <c r="D90" i="55" a="1"/>
  <c r="D120" i="55" a="1"/>
  <c r="D54" i="55" a="1"/>
  <c r="D101" i="55" a="1"/>
  <c r="D29" i="55" a="1"/>
  <c r="D33" i="56" a="1"/>
  <c r="D38" i="56" a="1"/>
  <c r="D124" i="56" a="1"/>
  <c r="D211" i="56" a="1"/>
  <c r="D176" i="56" a="1"/>
  <c r="D79" i="56" a="1"/>
  <c r="D31" i="56" a="1"/>
  <c r="D180" i="56" a="1"/>
  <c r="D193" i="56" a="1"/>
  <c r="D59" i="56" a="1"/>
  <c r="D159" i="56" a="1"/>
  <c r="D138" i="56" a="1"/>
  <c r="D149" i="56" a="1"/>
  <c r="D100" i="56" a="1"/>
  <c r="D51" i="56" a="1"/>
  <c r="D77" i="56" a="1"/>
  <c r="D203" i="56" a="1"/>
  <c r="D19" i="56" a="1"/>
  <c r="D104" i="56" a="1"/>
  <c r="D62" i="55" a="1"/>
  <c r="D14" i="55" a="1"/>
  <c r="D97" i="55" a="1"/>
  <c r="D37" i="55" a="1"/>
  <c r="D74" i="55" a="1"/>
  <c r="D86" i="55" a="1"/>
  <c r="D121" i="55" a="1"/>
  <c r="D50" i="55" a="1"/>
  <c r="D98" i="55" a="1"/>
  <c r="D26" i="55" a="1"/>
  <c r="D177" i="56" a="1"/>
  <c r="D61" i="56" a="1"/>
  <c r="D161" i="56" a="1"/>
  <c r="D136" i="56" a="1"/>
  <c r="D54" i="56" a="1"/>
  <c r="D21" i="56" a="1"/>
  <c r="D58" i="55" a="1"/>
  <c r="D9" i="55" a="1"/>
  <c r="D40" i="56" a="1"/>
  <c r="D2" i="56" a="1"/>
  <c r="D215" i="56" a="1"/>
  <c r="D167" i="56" a="1"/>
  <c r="D80" i="56" a="1"/>
  <c r="D32" i="56" a="1"/>
  <c r="D181" i="56" a="1"/>
  <c r="D197" i="56" a="1"/>
  <c r="D60" i="56" a="1"/>
  <c r="D160" i="56" a="1"/>
  <c r="D134" i="56" a="1"/>
  <c r="D150" i="56" a="1"/>
  <c r="D113" i="56" a="1"/>
  <c r="D53" i="56" a="1"/>
  <c r="D78" i="56" a="1"/>
  <c r="D201" i="56" a="1"/>
  <c r="D20" i="56" a="1"/>
  <c r="D105" i="56" a="1"/>
  <c r="D57" i="55" a="1"/>
  <c r="D44" i="55" a="1"/>
  <c r="D20" i="55" a="1"/>
  <c r="D39" i="55" a="1"/>
  <c r="D111" i="55" a="1"/>
  <c r="D81" i="55" a="1"/>
  <c r="D104" i="55" a="1"/>
  <c r="D68" i="55" a="1"/>
  <c r="D8" i="55" a="1"/>
  <c r="D212" i="56" a="1"/>
  <c r="D123" i="56" a="1"/>
  <c r="D3" i="56" a="1"/>
  <c r="D39" i="56" a="1"/>
  <c r="D125" i="56" a="1"/>
  <c r="D4" i="56" a="1"/>
  <c r="D214" i="56" a="1"/>
  <c r="D168" i="56" a="1"/>
  <c r="D83" i="56" a="1"/>
  <c r="D34" i="56" a="1"/>
  <c r="D183" i="56" a="1"/>
  <c r="D194" i="56" a="1"/>
  <c r="D62" i="56" a="1"/>
  <c r="D162" i="56" a="1"/>
  <c r="D151" i="56" a="1"/>
  <c r="D90" i="56" a="1"/>
  <c r="D115" i="56" a="1"/>
  <c r="D55" i="56" a="1"/>
  <c r="D70" i="56" a="1"/>
  <c r="D205" i="56" a="1"/>
  <c r="D22" i="56" a="1"/>
  <c r="D107" i="56" a="1"/>
  <c r="D4" i="55" a="1"/>
  <c r="D59" i="55" a="1"/>
  <c r="D46" i="55" a="1"/>
  <c r="D23" i="55" a="1"/>
  <c r="D43" i="55" a="1"/>
  <c r="D114" i="55" a="1"/>
  <c r="D83" i="55" a="1"/>
  <c r="D106" i="55" a="1"/>
  <c r="D71" i="55" a="1"/>
  <c r="D10" i="55" a="1"/>
  <c r="D60" i="55" a="1"/>
  <c r="D47" i="55" a="1"/>
  <c r="D24" i="55" a="1"/>
  <c r="D40" i="55" a="1"/>
  <c r="D113" i="55" a="1"/>
  <c r="D84" i="55" a="1"/>
  <c r="D107" i="55" a="1"/>
  <c r="D72" i="55" a="1"/>
  <c r="D11" i="55" a="1"/>
  <c r="B612" i="54" l="1"/>
  <c r="B544" i="54"/>
  <c r="B578" i="54"/>
  <c r="B34" i="54"/>
  <c r="B306" i="54"/>
  <c r="B204" i="54"/>
  <c r="B238" i="54"/>
  <c r="B374" i="54"/>
  <c r="B52" i="54"/>
  <c r="B340" i="54"/>
  <c r="B408" i="54"/>
  <c r="B272" i="54"/>
  <c r="B170" i="54"/>
  <c r="B204" i="61"/>
  <c r="B8" i="61"/>
  <c r="B218" i="61"/>
  <c r="B148" i="61"/>
  <c r="B252" i="61"/>
  <c r="B301" i="54"/>
  <c r="B97" i="54"/>
  <c r="B29" i="54"/>
  <c r="B233" i="54"/>
  <c r="B165" i="54"/>
  <c r="B267" i="54"/>
  <c r="B539" i="54"/>
  <c r="B63" i="54"/>
  <c r="B505" i="54"/>
  <c r="B369" i="54"/>
  <c r="B573" i="54"/>
  <c r="B403" i="54"/>
  <c r="B607" i="54"/>
  <c r="B95" i="54"/>
  <c r="B231" i="54"/>
  <c r="B577" i="54"/>
  <c r="B197" i="54"/>
  <c r="B169" i="54"/>
  <c r="B611" i="54"/>
  <c r="B163" i="54"/>
  <c r="B509" i="54"/>
  <c r="B537" i="54"/>
  <c r="B679" i="54"/>
  <c r="B61" i="54"/>
  <c r="B271" i="54"/>
  <c r="B599" i="54"/>
  <c r="B441" i="54"/>
  <c r="B503" i="54"/>
  <c r="B203" i="54"/>
  <c r="B605" i="54"/>
  <c r="B135" i="54"/>
  <c r="B453" i="54"/>
  <c r="B215" i="54"/>
  <c r="B623" i="54"/>
  <c r="B382" i="54"/>
  <c r="B530" i="54"/>
  <c r="D11" i="55"/>
  <c r="D72" i="55"/>
  <c r="D107" i="55"/>
  <c r="D84" i="55"/>
  <c r="D113" i="55"/>
  <c r="D40" i="55"/>
  <c r="D24" i="55"/>
  <c r="D47" i="55"/>
  <c r="D60" i="55"/>
  <c r="D10" i="55"/>
  <c r="D71" i="55"/>
  <c r="D106" i="55"/>
  <c r="D83" i="55"/>
  <c r="D114" i="55"/>
  <c r="D43" i="55"/>
  <c r="D23" i="55"/>
  <c r="D46" i="55"/>
  <c r="D59" i="55"/>
  <c r="D4" i="55"/>
  <c r="D107" i="56"/>
  <c r="D22" i="56"/>
  <c r="D205" i="56"/>
  <c r="D70" i="56"/>
  <c r="D55" i="56"/>
  <c r="D115" i="56"/>
  <c r="D90" i="56"/>
  <c r="D151" i="56"/>
  <c r="D162" i="56"/>
  <c r="D62" i="56"/>
  <c r="D194" i="56"/>
  <c r="D183" i="56"/>
  <c r="D34" i="56"/>
  <c r="D83" i="56"/>
  <c r="D168" i="56"/>
  <c r="D214" i="56"/>
  <c r="D4" i="56"/>
  <c r="D125" i="56"/>
  <c r="D39" i="56"/>
  <c r="D3" i="56"/>
  <c r="D123" i="56"/>
  <c r="D212" i="56"/>
  <c r="D8" i="55"/>
  <c r="D68" i="55"/>
  <c r="D104" i="55"/>
  <c r="D81" i="55"/>
  <c r="D111" i="55"/>
  <c r="D39" i="55"/>
  <c r="D20" i="55"/>
  <c r="D44" i="55"/>
  <c r="D57" i="55"/>
  <c r="D105" i="56"/>
  <c r="D20" i="56"/>
  <c r="D201" i="56"/>
  <c r="D78" i="56"/>
  <c r="D53" i="56"/>
  <c r="D113" i="56"/>
  <c r="D150" i="56"/>
  <c r="D134" i="56"/>
  <c r="D160" i="56"/>
  <c r="D60" i="56"/>
  <c r="D197" i="56"/>
  <c r="D181" i="56"/>
  <c r="D32" i="56"/>
  <c r="D80" i="56"/>
  <c r="D167" i="56"/>
  <c r="D215" i="56"/>
  <c r="D2" i="56"/>
  <c r="D40" i="56"/>
  <c r="D9" i="55"/>
  <c r="D58" i="55"/>
  <c r="D21" i="56"/>
  <c r="D54" i="56"/>
  <c r="D136" i="56"/>
  <c r="D161" i="56"/>
  <c r="D61" i="56"/>
  <c r="D177" i="56"/>
  <c r="D26" i="55"/>
  <c r="D98" i="55"/>
  <c r="D50" i="55"/>
  <c r="D121" i="55"/>
  <c r="D86" i="55"/>
  <c r="D74" i="55"/>
  <c r="D37" i="55"/>
  <c r="D97" i="55"/>
  <c r="D14" i="55"/>
  <c r="D62" i="55"/>
  <c r="D104" i="56"/>
  <c r="D19" i="56"/>
  <c r="D203" i="56"/>
  <c r="D77" i="56"/>
  <c r="D51" i="56"/>
  <c r="D100" i="56"/>
  <c r="D149" i="56"/>
  <c r="D138" i="56"/>
  <c r="D159" i="56"/>
  <c r="D59" i="56"/>
  <c r="D193" i="56"/>
  <c r="D180" i="56"/>
  <c r="D31" i="56"/>
  <c r="D79" i="56"/>
  <c r="D176" i="56"/>
  <c r="D211" i="56"/>
  <c r="D124" i="56"/>
  <c r="D38" i="56"/>
  <c r="D33" i="56"/>
  <c r="D29" i="55"/>
  <c r="D101" i="55"/>
  <c r="D54" i="55"/>
  <c r="D120" i="55"/>
  <c r="D90" i="55"/>
  <c r="D77" i="55"/>
  <c r="D36" i="55"/>
  <c r="D96" i="55"/>
  <c r="D19" i="55"/>
  <c r="D67" i="55"/>
  <c r="D103" i="56"/>
  <c r="D18" i="56"/>
  <c r="D200" i="56"/>
  <c r="D75" i="56"/>
  <c r="D112" i="56"/>
  <c r="D98" i="56"/>
  <c r="D148" i="56"/>
  <c r="D144" i="56"/>
  <c r="D158" i="56"/>
  <c r="D57" i="56"/>
  <c r="D192" i="56"/>
  <c r="D178" i="56"/>
  <c r="D30" i="56"/>
  <c r="D89" i="56"/>
  <c r="D175" i="56"/>
  <c r="D12" i="56"/>
  <c r="D133" i="56"/>
  <c r="D37" i="56"/>
  <c r="D182" i="56"/>
  <c r="D31" i="55"/>
  <c r="D103" i="55"/>
  <c r="D53" i="55"/>
  <c r="D119" i="55"/>
  <c r="D89" i="55"/>
  <c r="D79" i="55"/>
  <c r="D35" i="55"/>
  <c r="D95" i="55"/>
  <c r="D18" i="55"/>
  <c r="D65" i="55"/>
  <c r="D102" i="56"/>
  <c r="D17" i="56"/>
  <c r="D202" i="56"/>
  <c r="D52" i="56"/>
  <c r="D122" i="56"/>
  <c r="D97" i="56"/>
  <c r="D147" i="56"/>
  <c r="D141" i="56"/>
  <c r="D157" i="56"/>
  <c r="D58" i="56"/>
  <c r="D191" i="56"/>
  <c r="D188" i="56"/>
  <c r="D29" i="56"/>
  <c r="D87" i="56"/>
  <c r="D221" i="56"/>
  <c r="D11" i="56"/>
  <c r="D132" i="56"/>
  <c r="D36" i="56"/>
  <c r="D70" i="55"/>
  <c r="D105" i="55"/>
  <c r="D82" i="55"/>
  <c r="D112" i="55"/>
  <c r="D42" i="55"/>
  <c r="D22" i="55"/>
  <c r="D3" i="55"/>
  <c r="D204" i="56"/>
  <c r="D114" i="56"/>
  <c r="D82" i="56"/>
  <c r="D30" i="55"/>
  <c r="D100" i="55"/>
  <c r="D52" i="55"/>
  <c r="D118" i="55"/>
  <c r="D88" i="55"/>
  <c r="D78" i="55"/>
  <c r="D34" i="55"/>
  <c r="D94" i="55"/>
  <c r="D17" i="55"/>
  <c r="D64" i="55"/>
  <c r="D101" i="56"/>
  <c r="D15" i="56"/>
  <c r="D76" i="56"/>
  <c r="D50" i="56"/>
  <c r="D121" i="56"/>
  <c r="D96" i="56"/>
  <c r="D146" i="56"/>
  <c r="D142" i="56"/>
  <c r="D156" i="56"/>
  <c r="D67" i="56"/>
  <c r="D190" i="56"/>
  <c r="D179" i="56"/>
  <c r="D27" i="56"/>
  <c r="D170" i="56"/>
  <c r="D220" i="56"/>
  <c r="D10" i="56"/>
  <c r="D129" i="56"/>
  <c r="D35" i="56"/>
  <c r="D45" i="55"/>
  <c r="D106" i="56"/>
  <c r="D68" i="56"/>
  <c r="D99" i="56"/>
  <c r="D198" i="56"/>
  <c r="D28" i="55"/>
  <c r="D102" i="55"/>
  <c r="D55" i="55"/>
  <c r="D117" i="55"/>
  <c r="D91" i="55"/>
  <c r="D76" i="55"/>
  <c r="D33" i="55"/>
  <c r="D93" i="55"/>
  <c r="D16" i="55"/>
  <c r="D66" i="55"/>
  <c r="D111" i="56"/>
  <c r="D210" i="56"/>
  <c r="D74" i="56"/>
  <c r="D49" i="56"/>
  <c r="D120" i="56"/>
  <c r="D93" i="56"/>
  <c r="D145" i="56"/>
  <c r="D140" i="56"/>
  <c r="D165" i="56"/>
  <c r="D66" i="56"/>
  <c r="D189" i="56"/>
  <c r="D187" i="56"/>
  <c r="D88" i="56"/>
  <c r="D174" i="56"/>
  <c r="D219" i="56"/>
  <c r="D9" i="56"/>
  <c r="D131" i="56"/>
  <c r="D45" i="56"/>
  <c r="D27" i="55"/>
  <c r="D99" i="55"/>
  <c r="D51" i="55"/>
  <c r="D116" i="55"/>
  <c r="D87" i="55"/>
  <c r="D75" i="55"/>
  <c r="D32" i="55"/>
  <c r="D92" i="55"/>
  <c r="D15" i="55"/>
  <c r="D63" i="55"/>
  <c r="D16" i="56"/>
  <c r="D209" i="56"/>
  <c r="D73" i="56"/>
  <c r="D48" i="56"/>
  <c r="D119" i="56"/>
  <c r="D92" i="56"/>
  <c r="D155" i="56"/>
  <c r="D143" i="56"/>
  <c r="D164" i="56"/>
  <c r="D65" i="56"/>
  <c r="D199" i="56"/>
  <c r="D28" i="56"/>
  <c r="D86" i="56"/>
  <c r="D173" i="56"/>
  <c r="D218" i="56"/>
  <c r="D8" i="56"/>
  <c r="D128" i="56"/>
  <c r="D44" i="56"/>
  <c r="D13" i="55"/>
  <c r="D69" i="55"/>
  <c r="D109" i="55"/>
  <c r="D80" i="55"/>
  <c r="D110" i="55"/>
  <c r="D38" i="55"/>
  <c r="D21" i="55"/>
  <c r="D49" i="55"/>
  <c r="D56" i="55"/>
  <c r="D7" i="55"/>
  <c r="D110" i="56"/>
  <c r="D14" i="56"/>
  <c r="D208" i="56"/>
  <c r="D72" i="56"/>
  <c r="D46" i="56"/>
  <c r="D117" i="56"/>
  <c r="D95" i="56"/>
  <c r="D154" i="56"/>
  <c r="D139" i="56"/>
  <c r="D166" i="56"/>
  <c r="D63" i="56"/>
  <c r="D186" i="56"/>
  <c r="D26" i="56"/>
  <c r="D85" i="56"/>
  <c r="D172" i="56"/>
  <c r="D217" i="56"/>
  <c r="D7" i="56"/>
  <c r="D130" i="56"/>
  <c r="D43" i="56"/>
  <c r="D12" i="55"/>
  <c r="D73" i="55"/>
  <c r="D108" i="55"/>
  <c r="D85" i="55"/>
  <c r="D115" i="55"/>
  <c r="D41" i="55"/>
  <c r="D25" i="55"/>
  <c r="D48" i="55"/>
  <c r="D61" i="55"/>
  <c r="D6" i="55"/>
  <c r="D109" i="56"/>
  <c r="D13" i="56"/>
  <c r="D207" i="56"/>
  <c r="D69" i="56"/>
  <c r="D56" i="56"/>
  <c r="D118" i="56"/>
  <c r="D94" i="56"/>
  <c r="D153" i="56"/>
  <c r="D137" i="56"/>
  <c r="D163" i="56"/>
  <c r="D196" i="56"/>
  <c r="D185" i="56"/>
  <c r="D25" i="56"/>
  <c r="D84" i="56"/>
  <c r="D171" i="56"/>
  <c r="D216" i="56"/>
  <c r="D6" i="56"/>
  <c r="D127" i="56"/>
  <c r="D42" i="56"/>
  <c r="D5" i="55"/>
  <c r="D108" i="56"/>
  <c r="D23" i="56"/>
  <c r="D206" i="56"/>
  <c r="D71" i="56"/>
  <c r="D47" i="56"/>
  <c r="D116" i="56"/>
  <c r="D91" i="56"/>
  <c r="D152" i="56"/>
  <c r="D135" i="56"/>
  <c r="D64" i="56"/>
  <c r="D195" i="56"/>
  <c r="D184" i="56"/>
  <c r="D24" i="56"/>
  <c r="D81" i="56"/>
  <c r="D169" i="56"/>
  <c r="D213" i="56"/>
  <c r="D5" i="56"/>
  <c r="D126" i="56"/>
  <c r="D41" i="56"/>
  <c r="B179" i="54"/>
  <c r="B615" i="54"/>
  <c r="B650" i="54"/>
  <c r="B655" i="54"/>
  <c r="B451" i="54"/>
  <c r="B497" i="54"/>
  <c r="B571" i="54"/>
  <c r="B428" i="54"/>
  <c r="B553" i="54"/>
  <c r="B333" i="54"/>
  <c r="B401" i="54"/>
  <c r="B621" i="54"/>
  <c r="B469" i="54"/>
  <c r="B639" i="54"/>
  <c r="B43" i="61"/>
  <c r="B220" i="56"/>
  <c r="B176" i="56"/>
  <c r="B109" i="56"/>
  <c r="B187" i="56"/>
  <c r="B110" i="56"/>
  <c r="B164" i="56"/>
  <c r="B132" i="56"/>
  <c r="B11" i="56"/>
  <c r="B122" i="56"/>
  <c r="B37" i="56"/>
  <c r="B81" i="56"/>
  <c r="B32" i="56"/>
  <c r="B19" i="56"/>
  <c r="B36" i="56"/>
  <c r="B335" i="54"/>
  <c r="B538" i="54"/>
  <c r="B213" i="54"/>
  <c r="B281" i="54"/>
  <c r="B181" i="54"/>
  <c r="B173" i="54"/>
  <c r="B29" i="56"/>
  <c r="B197" i="61"/>
  <c r="B71" i="54"/>
  <c r="B309" i="54"/>
  <c r="B145" i="54"/>
  <c r="B531" i="54"/>
  <c r="B98" i="56"/>
  <c r="B547" i="54"/>
  <c r="B123" i="54"/>
  <c r="B8" i="54"/>
  <c r="B529" i="54"/>
  <c r="B156" i="54"/>
  <c r="B121" i="54"/>
  <c r="B78" i="61"/>
  <c r="B110" i="54"/>
  <c r="B239" i="61"/>
  <c r="B157" i="54"/>
  <c r="B435" i="54"/>
  <c r="B208" i="54"/>
  <c r="B190" i="61"/>
  <c r="B552" i="54"/>
  <c r="B267" i="61"/>
  <c r="B21" i="54"/>
  <c r="B673" i="54"/>
  <c r="B475" i="54"/>
  <c r="B27" i="56"/>
  <c r="B67" i="54"/>
  <c r="B49" i="55"/>
  <c r="B37" i="55"/>
  <c r="B91" i="55"/>
  <c r="B25" i="55"/>
  <c r="B29" i="55"/>
  <c r="B96" i="55"/>
  <c r="B71" i="55"/>
  <c r="B102" i="55"/>
  <c r="B108" i="55"/>
  <c r="B113" i="55"/>
  <c r="B59" i="55"/>
  <c r="B77" i="55"/>
  <c r="B101" i="55"/>
  <c r="B35" i="55"/>
  <c r="B6" i="55"/>
  <c r="B194" i="54"/>
  <c r="B364" i="54"/>
  <c r="B274" i="61"/>
  <c r="B137" i="61"/>
  <c r="B176" i="61"/>
  <c r="B92" i="61"/>
  <c r="B36" i="61"/>
  <c r="B64" i="61"/>
  <c r="B120" i="61"/>
  <c r="B246" i="61"/>
  <c r="B109" i="61"/>
  <c r="B106" i="61"/>
  <c r="B22" i="61"/>
  <c r="B273" i="61"/>
  <c r="B162" i="61"/>
  <c r="B15" i="61"/>
  <c r="B221" i="61"/>
  <c r="B260" i="61"/>
  <c r="B232" i="61"/>
  <c r="B161" i="61"/>
  <c r="B222" i="61"/>
  <c r="B266" i="61"/>
  <c r="B183" i="61"/>
  <c r="B208" i="61"/>
  <c r="B99" i="61"/>
  <c r="B217" i="61"/>
  <c r="B124" i="61"/>
  <c r="B141" i="61"/>
  <c r="B57" i="61"/>
  <c r="B134" i="61"/>
  <c r="B127" i="61"/>
  <c r="B55" i="54"/>
  <c r="B415" i="54"/>
  <c r="B58" i="54"/>
  <c r="B508" i="54"/>
  <c r="B40" i="56"/>
  <c r="B3" i="54"/>
  <c r="B166" i="61"/>
  <c r="B172" i="56"/>
  <c r="B5" i="55"/>
  <c r="B107" i="55"/>
  <c r="B41" i="55"/>
  <c r="B417" i="54"/>
  <c r="B210" i="61"/>
  <c r="B95" i="55"/>
  <c r="B23" i="55"/>
  <c r="B89" i="55"/>
  <c r="B47" i="55"/>
  <c r="B5" i="56"/>
  <c r="B53" i="55"/>
  <c r="B17" i="55"/>
  <c r="B119" i="55"/>
  <c r="B65" i="55"/>
  <c r="B18" i="54"/>
  <c r="B6" i="61"/>
  <c r="B48" i="61"/>
  <c r="B34" i="61"/>
  <c r="B562" i="54"/>
  <c r="B54" i="61"/>
  <c r="B139" i="56"/>
  <c r="B79" i="55"/>
  <c r="B48" i="55"/>
  <c r="B42" i="55"/>
  <c r="B620" i="54"/>
  <c r="B518" i="54"/>
  <c r="B194" i="56"/>
  <c r="B236" i="61"/>
  <c r="B183" i="56"/>
  <c r="B95" i="56"/>
  <c r="B479" i="54"/>
  <c r="B202" i="61"/>
  <c r="B161" i="56"/>
  <c r="B275" i="54"/>
  <c r="B11" i="55"/>
  <c r="B103" i="55"/>
  <c r="B514" i="54"/>
  <c r="B97" i="55"/>
  <c r="B485" i="54"/>
  <c r="B349" i="54"/>
  <c r="B583" i="54"/>
  <c r="B315" i="54"/>
  <c r="B587" i="54"/>
  <c r="B549" i="54"/>
  <c r="B383" i="54"/>
  <c r="B106" i="54"/>
  <c r="B77" i="54"/>
  <c r="B111" i="54"/>
  <c r="B106" i="56"/>
  <c r="B649" i="54"/>
  <c r="B24" i="54"/>
  <c r="B515" i="54"/>
  <c r="B121" i="55"/>
  <c r="B563" i="54"/>
  <c r="B169" i="61"/>
  <c r="B449" i="54"/>
  <c r="B494" i="54"/>
  <c r="B203" i="61"/>
  <c r="B148" i="56"/>
  <c r="B245" i="61"/>
  <c r="B19" i="55"/>
  <c r="B78" i="55"/>
  <c r="B73" i="56"/>
  <c r="B150" i="56"/>
  <c r="B586" i="54"/>
  <c r="B205" i="56"/>
  <c r="B128" i="56"/>
  <c r="B115" i="55"/>
  <c r="B249" i="61"/>
  <c r="B654" i="54"/>
  <c r="B95" i="61"/>
  <c r="B76" i="61"/>
  <c r="B60" i="55"/>
  <c r="B120" i="55"/>
  <c r="B154" i="61"/>
  <c r="B84" i="55"/>
  <c r="B54" i="55"/>
  <c r="B114" i="55"/>
  <c r="B36" i="55"/>
  <c r="B66" i="55"/>
  <c r="B18" i="55"/>
  <c r="B12" i="55"/>
  <c r="B616" i="54"/>
  <c r="B92" i="54"/>
  <c r="B62" i="61"/>
  <c r="B174" i="61"/>
  <c r="B246" i="54"/>
  <c r="B181" i="56"/>
  <c r="B123" i="61"/>
  <c r="B144" i="54"/>
  <c r="B360" i="54"/>
  <c r="B16" i="56"/>
  <c r="B258" i="54"/>
  <c r="B589" i="54"/>
  <c r="B88" i="54"/>
  <c r="B351" i="54"/>
  <c r="B72" i="54"/>
  <c r="B619" i="54"/>
  <c r="B11" i="54"/>
  <c r="B412" i="54"/>
  <c r="B630" i="54"/>
  <c r="B211" i="54"/>
  <c r="B419" i="54"/>
  <c r="B582" i="54"/>
  <c r="B462" i="54"/>
  <c r="B487" i="54"/>
  <c r="B54" i="54"/>
  <c r="B317" i="54"/>
  <c r="B122" i="54"/>
  <c r="B79" i="54"/>
  <c r="B245" i="54"/>
  <c r="B521" i="54"/>
  <c r="B20" i="54"/>
  <c r="B670" i="54"/>
  <c r="B332" i="54"/>
  <c r="B249" i="54"/>
  <c r="B280" i="54"/>
  <c r="B178" i="54"/>
  <c r="B154" i="54"/>
  <c r="B664" i="54"/>
  <c r="B513" i="54"/>
  <c r="B276" i="54"/>
  <c r="B358" i="54"/>
  <c r="B445" i="54"/>
  <c r="B344" i="54"/>
  <c r="B581" i="54"/>
  <c r="B174" i="54"/>
  <c r="B343" i="54"/>
  <c r="B548" i="54"/>
  <c r="B393" i="54"/>
  <c r="B314" i="54"/>
  <c r="B227" i="54"/>
  <c r="B392" i="54"/>
  <c r="B72" i="55"/>
  <c r="B590" i="54"/>
  <c r="B222" i="54"/>
  <c r="B189" i="54"/>
  <c r="B188" i="54"/>
  <c r="B225" i="61"/>
  <c r="B632" i="54"/>
  <c r="B310" i="54"/>
  <c r="B104" i="61"/>
  <c r="B30" i="55"/>
  <c r="B90" i="55"/>
  <c r="B188" i="61"/>
  <c r="B117" i="54"/>
  <c r="B461" i="54"/>
  <c r="B256" i="54"/>
  <c r="B378" i="54"/>
  <c r="B90" i="61"/>
  <c r="B532" i="54"/>
  <c r="B653" i="54"/>
  <c r="B82" i="56"/>
  <c r="B496" i="54"/>
  <c r="B160" i="61"/>
  <c r="B39" i="54"/>
  <c r="B657" i="54"/>
  <c r="B407" i="54"/>
  <c r="B597" i="54"/>
  <c r="B98" i="61"/>
  <c r="B294" i="54"/>
  <c r="B105" i="61"/>
  <c r="B264" i="61"/>
  <c r="B457" i="54"/>
  <c r="B96" i="61"/>
  <c r="B26" i="61"/>
  <c r="B250" i="61"/>
  <c r="B82" i="61"/>
  <c r="B138" i="61"/>
  <c r="B359" i="54"/>
  <c r="B110" i="61"/>
  <c r="B216" i="56"/>
  <c r="B411" i="54"/>
  <c r="B262" i="61"/>
  <c r="B5" i="54"/>
  <c r="B151" i="56"/>
  <c r="B80" i="61"/>
  <c r="B12" i="61"/>
  <c r="B450" i="54"/>
  <c r="B429" i="54"/>
  <c r="B248" i="61"/>
  <c r="B564" i="54"/>
  <c r="B179" i="61"/>
  <c r="B278" i="61"/>
  <c r="B152" i="61"/>
  <c r="B426" i="54"/>
  <c r="B416" i="54"/>
  <c r="B348" i="54"/>
  <c r="B207" i="54"/>
  <c r="B150" i="61"/>
  <c r="B143" i="54"/>
  <c r="B224" i="54"/>
  <c r="B283" i="54"/>
  <c r="B446" i="54"/>
  <c r="B230" i="61"/>
  <c r="B214" i="56"/>
  <c r="B94" i="61"/>
  <c r="B551" i="54"/>
  <c r="B192" i="56"/>
  <c r="B235" i="61"/>
  <c r="B192" i="61"/>
  <c r="B220" i="61"/>
  <c r="B59" i="54"/>
  <c r="B178" i="61"/>
  <c r="B52" i="56"/>
  <c r="B85" i="56"/>
  <c r="B68" i="61"/>
  <c r="B290" i="54"/>
  <c r="B76" i="54"/>
  <c r="B9" i="54"/>
  <c r="B247" i="54"/>
  <c r="B117" i="56"/>
  <c r="B84" i="56"/>
  <c r="B139" i="54"/>
  <c r="B52" i="61"/>
  <c r="B10" i="61"/>
  <c r="B483" i="54"/>
  <c r="B292" i="54"/>
  <c r="B45" i="54"/>
  <c r="B25" i="54"/>
  <c r="B4" i="54"/>
  <c r="B20" i="61"/>
  <c r="B379" i="54"/>
  <c r="B104" i="56"/>
  <c r="B21" i="61"/>
  <c r="B277" i="61"/>
  <c r="B463" i="54"/>
  <c r="B327" i="54"/>
  <c r="B395" i="54"/>
  <c r="B225" i="54"/>
  <c r="B191" i="54"/>
  <c r="B633" i="54"/>
  <c r="B265" i="61"/>
  <c r="B635" i="54"/>
  <c r="B51" i="61"/>
  <c r="B470" i="54"/>
  <c r="B331" i="54"/>
  <c r="B73" i="54"/>
  <c r="B112" i="61"/>
  <c r="B171" i="54"/>
  <c r="B42" i="61"/>
  <c r="B598" i="54"/>
  <c r="B126" i="56"/>
  <c r="B631" i="54"/>
  <c r="B495" i="54"/>
  <c r="B324" i="54"/>
  <c r="B361" i="54"/>
  <c r="B661" i="54"/>
  <c r="B90" i="54"/>
  <c r="B287" i="54"/>
  <c r="B162" i="54"/>
  <c r="B19" i="54"/>
  <c r="B212" i="54"/>
  <c r="B525" i="54"/>
  <c r="B603" i="54"/>
  <c r="B432" i="54"/>
  <c r="B160" i="54"/>
  <c r="B500" i="54"/>
  <c r="B41" i="54"/>
  <c r="B600" i="54"/>
  <c r="B22" i="54"/>
  <c r="B279" i="54"/>
  <c r="B501" i="54"/>
  <c r="B464" i="54"/>
  <c r="B601" i="54"/>
  <c r="B259" i="61"/>
  <c r="B7" i="61"/>
  <c r="B49" i="61"/>
  <c r="B108" i="56"/>
  <c r="B189" i="61"/>
  <c r="B602" i="54"/>
  <c r="B251" i="61"/>
  <c r="B56" i="54"/>
  <c r="B168" i="54"/>
  <c r="B329" i="54"/>
  <c r="B91" i="61"/>
  <c r="B86" i="56"/>
  <c r="B8" i="56"/>
  <c r="B194" i="61"/>
  <c r="B180" i="61"/>
  <c r="B56" i="56"/>
  <c r="B259" i="54"/>
  <c r="B565" i="54"/>
  <c r="B62" i="56"/>
  <c r="B18" i="56"/>
  <c r="B37" i="54"/>
  <c r="B377" i="54"/>
  <c r="B66" i="61"/>
  <c r="B313" i="54"/>
  <c r="B326" i="54"/>
  <c r="B666" i="54"/>
  <c r="B147" i="54"/>
  <c r="B113" i="54"/>
  <c r="B466" i="54"/>
  <c r="B237" i="61"/>
  <c r="B362" i="54"/>
  <c r="B49" i="56"/>
  <c r="B159" i="54"/>
  <c r="B147" i="61"/>
  <c r="B197" i="56"/>
  <c r="B87" i="56"/>
  <c r="B97" i="56"/>
  <c r="B33" i="61"/>
  <c r="B228" i="54"/>
  <c r="B296" i="54"/>
  <c r="B569" i="54"/>
  <c r="B262" i="54"/>
  <c r="B111" i="61"/>
  <c r="B161" i="54"/>
  <c r="B542" i="54"/>
  <c r="B119" i="61"/>
  <c r="B217" i="56"/>
  <c r="B325" i="54"/>
  <c r="B53" i="54"/>
  <c r="B437" i="54"/>
  <c r="B675" i="54"/>
  <c r="B133" i="56"/>
  <c r="B43" i="54"/>
  <c r="B293" i="54"/>
  <c r="B51" i="56"/>
  <c r="B241" i="54"/>
  <c r="B234" i="61"/>
  <c r="B585" i="54"/>
  <c r="B190" i="54"/>
  <c r="B555" i="54"/>
  <c r="B330" i="54"/>
  <c r="B27" i="61"/>
  <c r="B297" i="54"/>
  <c r="B260" i="54"/>
  <c r="B66" i="54"/>
  <c r="B203" i="56"/>
  <c r="B261" i="54"/>
  <c r="B35" i="61"/>
  <c r="B21" i="56"/>
  <c r="B206" i="56"/>
  <c r="B39" i="61"/>
  <c r="B162" i="56"/>
  <c r="B214" i="54"/>
  <c r="B596" i="54"/>
  <c r="B42" i="54"/>
  <c r="B637" i="54"/>
  <c r="B480" i="54"/>
  <c r="B216" i="61"/>
  <c r="B272" i="61"/>
  <c r="B207" i="61"/>
  <c r="B414" i="54"/>
  <c r="B140" i="54"/>
  <c r="B258" i="61"/>
  <c r="B146" i="61"/>
  <c r="B11" i="61"/>
  <c r="B117" i="61"/>
  <c r="B133" i="61"/>
  <c r="B174" i="56"/>
  <c r="B89" i="61"/>
  <c r="B263" i="54"/>
  <c r="B132" i="61"/>
  <c r="B118" i="61"/>
  <c r="B67" i="61"/>
  <c r="B25" i="61"/>
  <c r="B81" i="61"/>
  <c r="B53" i="61"/>
  <c r="B75" i="54"/>
  <c r="B170" i="56"/>
  <c r="B93" i="56"/>
  <c r="B7" i="54"/>
  <c r="B381" i="54"/>
  <c r="B38" i="56"/>
  <c r="B159" i="56"/>
  <c r="B53" i="56"/>
  <c r="B115" i="56"/>
  <c r="B71" i="56"/>
  <c r="B70" i="61"/>
  <c r="B182" i="61"/>
  <c r="B238" i="61"/>
  <c r="B300" i="54"/>
  <c r="B14" i="61"/>
  <c r="B164" i="54"/>
  <c r="B224" i="61"/>
  <c r="B572" i="54"/>
  <c r="B56" i="61"/>
  <c r="B130" i="54"/>
  <c r="B28" i="61"/>
  <c r="B402" i="54"/>
  <c r="B613" i="54"/>
  <c r="B559" i="54"/>
  <c r="B185" i="54"/>
  <c r="B465" i="54"/>
  <c r="B223" i="54"/>
  <c r="B85" i="61"/>
  <c r="B109" i="54"/>
  <c r="B347" i="54"/>
  <c r="B491" i="54"/>
  <c r="B430" i="54"/>
  <c r="B295" i="54"/>
  <c r="B665" i="54"/>
  <c r="B155" i="54"/>
  <c r="B211" i="61"/>
  <c r="B367" i="54"/>
  <c r="B177" i="54"/>
  <c r="B15" i="54"/>
  <c r="B636" i="54"/>
  <c r="B373" i="54"/>
  <c r="B668" i="54"/>
  <c r="B270" i="54"/>
  <c r="B137" i="56"/>
  <c r="B91" i="54"/>
  <c r="B193" i="61"/>
  <c r="B244" i="54"/>
  <c r="B593" i="54"/>
  <c r="B175" i="54"/>
  <c r="B338" i="54"/>
  <c r="B434" i="54"/>
  <c r="B139" i="61"/>
  <c r="B264" i="54"/>
  <c r="B579" i="54"/>
  <c r="B41" i="61"/>
  <c r="B6" i="54"/>
  <c r="B120" i="54"/>
  <c r="B86" i="54"/>
  <c r="B113" i="61"/>
  <c r="B281" i="61"/>
  <c r="B27" i="54"/>
  <c r="B237" i="54"/>
  <c r="B101" i="54"/>
  <c r="B528" i="54"/>
  <c r="B155" i="61"/>
  <c r="B29" i="61"/>
  <c r="B299" i="54"/>
  <c r="B543" i="54"/>
  <c r="B645" i="54"/>
  <c r="B71" i="61"/>
  <c r="B305" i="54"/>
  <c r="B339" i="54"/>
  <c r="B242" i="54"/>
  <c r="B191" i="61"/>
  <c r="B606" i="54"/>
  <c r="B103" i="54"/>
  <c r="B232" i="54"/>
  <c r="B146" i="54"/>
  <c r="B681" i="54"/>
  <c r="B674" i="54"/>
  <c r="B107" i="61"/>
  <c r="B511" i="54"/>
  <c r="B126" i="61"/>
  <c r="B168" i="61"/>
  <c r="B239" i="54"/>
  <c r="B368" i="54"/>
  <c r="B23" i="61"/>
  <c r="B307" i="54"/>
  <c r="B280" i="61"/>
  <c r="B334" i="54"/>
  <c r="B247" i="61"/>
  <c r="B151" i="54"/>
  <c r="B566" i="54"/>
  <c r="B124" i="54"/>
  <c r="B57" i="54"/>
  <c r="B389" i="54"/>
  <c r="B498" i="54"/>
  <c r="B634" i="54"/>
  <c r="B23" i="54"/>
  <c r="B24" i="61"/>
  <c r="B83" i="54"/>
  <c r="B534" i="54"/>
  <c r="B158" i="54"/>
  <c r="B363" i="54"/>
  <c r="B676" i="54"/>
  <c r="B192" i="54"/>
  <c r="B193" i="54"/>
  <c r="B574" i="54"/>
  <c r="B678" i="54"/>
  <c r="B152" i="56"/>
  <c r="B458" i="54"/>
  <c r="B207" i="56"/>
  <c r="B47" i="61"/>
  <c r="B141" i="56"/>
  <c r="B271" i="61"/>
  <c r="B199" i="54"/>
  <c r="B42" i="56"/>
  <c r="B145" i="61"/>
  <c r="B126" i="54"/>
  <c r="B175" i="61"/>
  <c r="B218" i="56"/>
  <c r="B107" i="56"/>
  <c r="B187" i="61"/>
  <c r="B134" i="54"/>
  <c r="B130" i="56"/>
  <c r="B19" i="61"/>
  <c r="B253" i="54"/>
  <c r="B545" i="54"/>
  <c r="B345" i="54"/>
  <c r="B177" i="61"/>
  <c r="B604" i="54"/>
  <c r="B30" i="56"/>
  <c r="B400" i="54"/>
  <c r="B140" i="56"/>
  <c r="B84" i="54"/>
  <c r="B504" i="54"/>
  <c r="B622" i="54"/>
  <c r="B84" i="61"/>
  <c r="B375" i="54"/>
  <c r="B96" i="54"/>
  <c r="B141" i="54"/>
  <c r="B50" i="54"/>
  <c r="B278" i="54"/>
  <c r="B69" i="54"/>
  <c r="B640" i="54"/>
  <c r="B128" i="54"/>
  <c r="B594" i="54"/>
  <c r="B279" i="61"/>
  <c r="B467" i="54"/>
  <c r="B486" i="54"/>
  <c r="B205" i="54"/>
  <c r="B436" i="54"/>
  <c r="B266" i="54"/>
  <c r="B196" i="61"/>
  <c r="B443" i="54"/>
  <c r="B398" i="54"/>
  <c r="B28" i="54"/>
  <c r="B62" i="54"/>
  <c r="B644" i="54"/>
  <c r="B233" i="61"/>
  <c r="B96" i="56"/>
  <c r="B409" i="54"/>
  <c r="B37" i="61"/>
  <c r="B656" i="54"/>
  <c r="B506" i="54"/>
  <c r="B397" i="54"/>
  <c r="B288" i="54"/>
  <c r="B69" i="61"/>
  <c r="B396" i="54"/>
  <c r="B328" i="54"/>
  <c r="B669" i="54"/>
  <c r="B20" i="56"/>
  <c r="B119" i="56"/>
  <c r="B196" i="54"/>
  <c r="B526" i="54"/>
  <c r="B159" i="61"/>
  <c r="B567" i="54"/>
  <c r="B404" i="54"/>
  <c r="B153" i="61"/>
  <c r="B181" i="61"/>
  <c r="B195" i="61"/>
  <c r="B477" i="54"/>
  <c r="B311" i="54"/>
  <c r="B79" i="61"/>
  <c r="B118" i="56"/>
  <c r="B173" i="56"/>
  <c r="B282" i="54"/>
  <c r="B93" i="61"/>
  <c r="B520" i="54"/>
  <c r="B481" i="54"/>
  <c r="B9" i="61"/>
  <c r="B550" i="54"/>
  <c r="B261" i="61"/>
  <c r="B672" i="54"/>
  <c r="B366" i="54"/>
  <c r="B94" i="54"/>
  <c r="B13" i="61"/>
  <c r="B219" i="61"/>
  <c r="B26" i="54"/>
  <c r="B468" i="54"/>
  <c r="B121" i="61"/>
  <c r="B536" i="54"/>
  <c r="B152" i="54"/>
  <c r="B78" i="54"/>
  <c r="B277" i="54"/>
  <c r="B459" i="54"/>
  <c r="B302" i="54"/>
  <c r="B284" i="54"/>
  <c r="B318" i="54"/>
  <c r="B556" i="54"/>
  <c r="B127" i="54"/>
  <c r="B499" i="54"/>
  <c r="B125" i="54"/>
  <c r="B231" i="61"/>
  <c r="B149" i="61"/>
  <c r="B336" i="54"/>
  <c r="B248" i="54"/>
  <c r="B346" i="54"/>
  <c r="B65" i="61"/>
  <c r="B627" i="54"/>
  <c r="B423" i="54"/>
  <c r="B321" i="54"/>
  <c r="B49" i="54"/>
  <c r="B195" i="54"/>
  <c r="B642" i="54"/>
  <c r="B195" i="56"/>
  <c r="B31" i="54"/>
  <c r="B540" i="54"/>
  <c r="B108" i="54"/>
  <c r="B454" i="54"/>
  <c r="B148" i="54"/>
  <c r="B142" i="54"/>
  <c r="B438" i="54"/>
  <c r="B652" i="54"/>
  <c r="B482" i="54"/>
  <c r="B516" i="54"/>
  <c r="B210" i="54"/>
  <c r="B74" i="54"/>
  <c r="B658" i="54"/>
  <c r="B263" i="61"/>
  <c r="B184" i="56"/>
  <c r="B74" i="56"/>
  <c r="B624" i="54"/>
  <c r="B63" i="56"/>
  <c r="B41" i="56"/>
  <c r="B380" i="54"/>
  <c r="B176" i="54"/>
  <c r="B584" i="54"/>
  <c r="B488" i="54"/>
  <c r="B219" i="54"/>
  <c r="B137" i="54"/>
  <c r="B433" i="54"/>
  <c r="B617" i="54"/>
  <c r="B151" i="61"/>
  <c r="B608" i="54"/>
  <c r="B452" i="54"/>
  <c r="B312" i="54"/>
  <c r="B80" i="54"/>
  <c r="B273" i="54"/>
  <c r="B647" i="54"/>
  <c r="B341" i="54"/>
  <c r="B133" i="54"/>
  <c r="B112" i="54"/>
  <c r="B316" i="54"/>
  <c r="B588" i="54"/>
  <c r="B399" i="54"/>
  <c r="B431" i="54"/>
  <c r="B7" i="55"/>
  <c r="B268" i="54"/>
  <c r="B323" i="54"/>
  <c r="B182" i="54"/>
  <c r="B448" i="54"/>
  <c r="B30" i="54"/>
  <c r="B12" i="54"/>
  <c r="B618" i="54"/>
  <c r="B365" i="54"/>
  <c r="B77" i="61"/>
  <c r="B163" i="61"/>
  <c r="B275" i="61"/>
  <c r="B643" i="54"/>
  <c r="B201" i="54"/>
  <c r="B575" i="54"/>
  <c r="B153" i="54"/>
  <c r="B85" i="54"/>
  <c r="B109" i="55"/>
  <c r="B67" i="55"/>
  <c r="B492" i="54"/>
  <c r="B595" i="54"/>
  <c r="B251" i="54"/>
  <c r="B196" i="56"/>
  <c r="B64" i="56"/>
  <c r="B85" i="55"/>
  <c r="B55" i="55"/>
  <c r="B230" i="54"/>
  <c r="B16" i="54"/>
  <c r="B220" i="54"/>
  <c r="B131" i="61"/>
  <c r="B119" i="54"/>
  <c r="B418" i="54"/>
  <c r="B180" i="54"/>
  <c r="B319" i="54"/>
  <c r="B289" i="54"/>
  <c r="B31" i="55"/>
  <c r="B13" i="55"/>
  <c r="B254" i="54"/>
  <c r="B629" i="54"/>
  <c r="B163" i="56"/>
  <c r="B75" i="56"/>
  <c r="B73" i="55"/>
  <c r="B43" i="55"/>
  <c r="B560" i="54"/>
  <c r="B243" i="61"/>
  <c r="B391" i="54"/>
  <c r="B217" i="54"/>
  <c r="B185" i="56"/>
  <c r="B570" i="54"/>
  <c r="B60" i="54"/>
  <c r="B628" i="54"/>
  <c r="B215" i="61"/>
  <c r="B357" i="54"/>
  <c r="B384" i="54"/>
  <c r="B149" i="54"/>
  <c r="B255" i="54"/>
  <c r="B625" i="54"/>
  <c r="B356" i="54"/>
  <c r="B663" i="54"/>
  <c r="B187" i="54"/>
  <c r="B17" i="54"/>
  <c r="B493" i="54"/>
  <c r="B610" i="54"/>
  <c r="B474" i="54"/>
  <c r="B118" i="54"/>
  <c r="B527" i="54"/>
  <c r="B353" i="54"/>
  <c r="B202" i="54"/>
  <c r="B576" i="54"/>
  <c r="B32" i="54"/>
  <c r="B221" i="54"/>
  <c r="B51" i="54"/>
  <c r="B406" i="54"/>
  <c r="B236" i="54"/>
  <c r="B421" i="54"/>
  <c r="B372" i="54"/>
  <c r="B304" i="54"/>
  <c r="B387" i="54"/>
  <c r="B100" i="54"/>
  <c r="B561" i="54"/>
  <c r="B591" i="54"/>
  <c r="B93" i="54"/>
  <c r="B535" i="54"/>
  <c r="B322" i="54"/>
  <c r="B424" i="54"/>
  <c r="B370" i="54"/>
  <c r="B114" i="54"/>
  <c r="B420" i="54"/>
  <c r="B250" i="54"/>
  <c r="B667" i="54"/>
  <c r="B55" i="61"/>
  <c r="B671" i="54"/>
  <c r="B234" i="54"/>
  <c r="B167" i="54"/>
  <c r="B352" i="54"/>
  <c r="B46" i="54"/>
  <c r="B243" i="54"/>
  <c r="B413" i="54"/>
  <c r="B390" i="54"/>
  <c r="B229" i="61"/>
  <c r="B103" i="61"/>
  <c r="B554" i="54"/>
  <c r="B10" i="54"/>
  <c r="B507" i="54"/>
  <c r="B107" i="54"/>
  <c r="B209" i="54"/>
  <c r="B371" i="54"/>
  <c r="B447" i="54"/>
  <c r="B5" i="61"/>
  <c r="B541" i="54"/>
  <c r="B350" i="54"/>
  <c r="B257" i="61"/>
  <c r="B75" i="61"/>
  <c r="B186" i="54"/>
  <c r="B64" i="54"/>
  <c r="B173" i="61"/>
  <c r="B557" i="54"/>
  <c r="B81" i="54"/>
  <c r="B115" i="54"/>
  <c r="B166" i="54"/>
  <c r="B472" i="54"/>
  <c r="B98" i="54"/>
  <c r="B455" i="54"/>
  <c r="B132" i="54"/>
  <c r="B183" i="54"/>
  <c r="B209" i="61"/>
  <c r="B205" i="61"/>
  <c r="B439" i="54"/>
  <c r="B235" i="54"/>
  <c r="B337" i="54"/>
  <c r="B405" i="54"/>
  <c r="B125" i="61"/>
  <c r="B99" i="54"/>
  <c r="B473" i="54"/>
  <c r="B223" i="61"/>
  <c r="B97" i="61"/>
  <c r="B269" i="54"/>
  <c r="B83" i="61"/>
  <c r="B609" i="54"/>
  <c r="B65" i="54"/>
  <c r="B216" i="54"/>
  <c r="B303" i="54"/>
  <c r="B489" i="54"/>
  <c r="B386" i="54"/>
  <c r="B285" i="54"/>
  <c r="B13" i="54"/>
  <c r="B47" i="54"/>
  <c r="B523" i="54"/>
  <c r="E61" i="61" a="1"/>
  <c r="E86" i="61" a="1"/>
  <c r="E30" i="61" a="1"/>
  <c r="E59" i="61" a="1"/>
  <c r="E248" i="61" a="1"/>
  <c r="E66" i="61" a="1"/>
  <c r="E169" i="61" a="1"/>
  <c r="E147" i="61" a="1"/>
  <c r="E164" i="61" a="1"/>
  <c r="E238" i="61" a="1"/>
  <c r="E34" i="61" a="1"/>
  <c r="E55" i="61" a="1"/>
  <c r="E184" i="61" a="1"/>
  <c r="E235" i="61" a="1"/>
  <c r="E181" i="61" a="1"/>
  <c r="E190" i="61" a="1"/>
  <c r="E135" i="61" a="1"/>
  <c r="E44" i="61" a="1"/>
  <c r="E192" i="61" a="1"/>
  <c r="E236" i="61" a="1"/>
  <c r="E74" i="61" a="1"/>
  <c r="E165" i="61" a="1"/>
  <c r="E263" i="61" a="1"/>
  <c r="E85" i="61" a="1"/>
  <c r="E232" i="61" a="1"/>
  <c r="E62" i="61" a="1"/>
  <c r="E194" i="61" a="1"/>
  <c r="E155" i="61" a="1"/>
  <c r="E88" i="61" a="1"/>
  <c r="E38" i="61" a="1"/>
  <c r="E266" i="61" a="1"/>
  <c r="E96" i="61" a="1"/>
  <c r="E60" i="61" a="1"/>
  <c r="E37" i="61" a="1"/>
  <c r="E151" i="61" a="1"/>
  <c r="E41" i="61" a="1"/>
  <c r="E33" i="61" a="1"/>
  <c r="E122" i="61" a="1"/>
  <c r="E32" i="61" a="1"/>
  <c r="E101" i="61" a="1"/>
  <c r="E53" i="61" a="1"/>
  <c r="E98" i="61" a="1"/>
  <c r="E4" i="61" a="1"/>
  <c r="E116" i="61" a="1"/>
  <c r="E16" i="61" a="1"/>
  <c r="E5" i="61" a="1"/>
  <c r="E146" i="61" a="1"/>
  <c r="E10" i="61" a="1"/>
  <c r="E81" i="61" a="1"/>
  <c r="E11" i="61" a="1"/>
  <c r="E90" i="61" a="1"/>
  <c r="E77" i="61" a="1"/>
  <c r="E99" i="61" a="1"/>
  <c r="E271" i="61" a="1"/>
  <c r="E207" i="61" a="1"/>
  <c r="E185" i="61" a="1"/>
  <c r="E52" i="61" a="1"/>
  <c r="E21" i="61" a="1"/>
  <c r="E154" i="61" a="1"/>
  <c r="E247" i="61" a="1"/>
  <c r="E264" i="61" a="1"/>
  <c r="E95" i="61" a="1"/>
  <c r="E39" i="61" a="1"/>
  <c r="E47" i="61" a="1"/>
  <c r="E241" i="61" a="1"/>
  <c r="E224" i="61" a="1"/>
  <c r="E25" i="61" a="1"/>
  <c r="E275" i="61" a="1"/>
  <c r="E139" i="61" a="1"/>
  <c r="E195" i="61" a="1"/>
  <c r="E189" i="61" a="1"/>
  <c r="E279" i="61" a="1"/>
  <c r="E244" i="61" a="1"/>
  <c r="E117" i="61" a="1"/>
  <c r="E199" i="61" a="1"/>
  <c r="E111" i="61" a="1"/>
  <c r="E105" i="61" a="1"/>
  <c r="E277" i="61" a="1"/>
  <c r="E258" i="61" a="1"/>
  <c r="E75" i="61" a="1"/>
  <c r="E254" i="61" a="1"/>
  <c r="E200" i="61" a="1"/>
  <c r="E50" i="61" a="1"/>
  <c r="E242" i="61" a="1"/>
  <c r="E141" i="61" a="1"/>
  <c r="E97" i="61" a="1"/>
  <c r="E168" i="61" a="1"/>
  <c r="E221" i="61" a="1"/>
  <c r="E67" i="61" a="1"/>
  <c r="E130" i="61" a="1"/>
  <c r="E267" i="61" a="1"/>
  <c r="E216" i="61" a="1"/>
  <c r="E7" i="61" a="1"/>
  <c r="E56" i="61" a="1"/>
  <c r="E42" i="61" a="1"/>
  <c r="E158" i="61" a="1"/>
  <c r="E132" i="61" a="1"/>
  <c r="E250" i="61" a="1"/>
  <c r="E63" i="61" a="1"/>
  <c r="E273" i="61" a="1"/>
  <c r="E222" i="61" a="1"/>
  <c r="E196" i="61" a="1"/>
  <c r="E213" i="61" a="1"/>
  <c r="E240" i="61" a="1"/>
  <c r="E149" i="61" a="1"/>
  <c r="E205" i="61" a="1"/>
  <c r="E12" i="61" a="1"/>
  <c r="E113" i="61" a="1"/>
  <c r="E174" i="61" a="1"/>
  <c r="E109" i="61" a="1"/>
  <c r="E40" i="61" a="1"/>
  <c r="E68" i="61" a="1"/>
  <c r="E252" i="61" a="1"/>
  <c r="E180" i="61" a="1"/>
  <c r="E29" i="61" a="1"/>
  <c r="E123" i="61" a="1"/>
  <c r="E268" i="61" a="1"/>
  <c r="E27" i="61" a="1"/>
  <c r="E136" i="61" a="1"/>
  <c r="E78" i="61" a="1"/>
  <c r="E128" i="61" a="1"/>
  <c r="E71" i="61" a="1"/>
  <c r="E249" i="61" a="1"/>
  <c r="E129" i="61" a="1"/>
  <c r="E125" i="61" a="1"/>
  <c r="E270" i="61" a="1"/>
  <c r="E79" i="61" a="1"/>
  <c r="E144" i="61" a="1"/>
  <c r="E223" i="61" a="1"/>
  <c r="E229" i="61" a="1"/>
  <c r="E108" i="61" a="1"/>
  <c r="E2" i="61" a="1"/>
  <c r="E166" i="61" a="1"/>
  <c r="E260" i="61" a="1"/>
  <c r="E87" i="61" a="1"/>
  <c r="E14" i="61" a="1"/>
  <c r="E237" i="61" a="1"/>
  <c r="E9" i="61" a="1"/>
  <c r="E100" i="61" a="1"/>
  <c r="E214" i="61" a="1"/>
  <c r="E26" i="61" a="1"/>
  <c r="E72" i="61" a="1"/>
  <c r="E142" i="61" a="1"/>
  <c r="E251" i="61" a="1"/>
  <c r="E265" i="61" a="1"/>
  <c r="E230" i="61" a="1"/>
  <c r="E18" i="61" a="1"/>
  <c r="E227" i="61" a="1"/>
  <c r="E120" i="61" a="1"/>
  <c r="E143" i="61" a="1"/>
  <c r="E278" i="61" a="1"/>
  <c r="E259" i="61" a="1"/>
  <c r="E274" i="61" a="1"/>
  <c r="E245" i="61" a="1"/>
  <c r="E73" i="61" a="1"/>
  <c r="E115" i="61" a="1"/>
  <c r="E219" i="61" a="1"/>
  <c r="E173" i="61" a="1"/>
  <c r="E133" i="61" a="1"/>
  <c r="E138" i="61" a="1"/>
  <c r="E124" i="61" a="1"/>
  <c r="E24" i="61" a="1"/>
  <c r="E92" i="61" a="1"/>
  <c r="E84" i="61" a="1"/>
  <c r="E239" i="61" a="1"/>
  <c r="E261" i="61" a="1"/>
  <c r="E193" i="61" a="1"/>
  <c r="E119" i="61" a="1"/>
  <c r="E218" i="61" a="1"/>
  <c r="E127" i="61" a="1"/>
  <c r="E215" i="61" a="1"/>
  <c r="E176" i="61" a="1"/>
  <c r="E110" i="61" a="1"/>
  <c r="E183" i="61" a="1"/>
  <c r="E89" i="61" a="1"/>
  <c r="D2" i="55" a="1"/>
  <c r="E225" i="61" a="1"/>
  <c r="E103" i="61" a="1"/>
  <c r="E188" i="61" a="1"/>
  <c r="E131" i="61" a="1"/>
  <c r="E145" i="61" a="1"/>
  <c r="E163" i="61" a="1"/>
  <c r="E80" i="61" a="1"/>
  <c r="E209" i="61" a="1"/>
  <c r="E107" i="61" a="1"/>
  <c r="E22" i="61" a="1"/>
  <c r="E46" i="61" a="1"/>
  <c r="E118" i="61" a="1"/>
  <c r="E91" i="61" a="1"/>
  <c r="E226" i="61" a="1"/>
  <c r="E182" i="61" a="1"/>
  <c r="E150" i="61" a="1"/>
  <c r="E243" i="61" a="1"/>
  <c r="E152" i="61" a="1"/>
  <c r="E15" i="61" a="1"/>
  <c r="E23" i="61" a="1"/>
  <c r="E170" i="61" a="1"/>
  <c r="E114" i="61" a="1"/>
  <c r="E45" i="61" a="1"/>
  <c r="E269" i="61" a="1"/>
  <c r="E255" i="61" a="1"/>
  <c r="E70" i="61" a="1"/>
  <c r="E217" i="61" a="1"/>
  <c r="E206" i="61" a="1"/>
  <c r="E231" i="61" a="1"/>
  <c r="E281" i="61" a="1"/>
  <c r="E106" i="61" a="1"/>
  <c r="E246" i="61" a="1"/>
  <c r="E64" i="61" a="1"/>
  <c r="E179" i="61" a="1"/>
  <c r="E148" i="61" a="1"/>
  <c r="E276" i="61" a="1"/>
  <c r="E171" i="61" a="1"/>
  <c r="E212" i="61" a="1"/>
  <c r="E253" i="61" a="1"/>
  <c r="E134" i="61" a="1"/>
  <c r="E35" i="61" a="1"/>
  <c r="E153" i="61" a="1"/>
  <c r="E51" i="61" a="1"/>
  <c r="E228" i="61" a="1"/>
  <c r="E121" i="61" a="1"/>
  <c r="E43" i="61" a="1"/>
  <c r="E210" i="61" a="1"/>
  <c r="E156" i="61" a="1"/>
  <c r="E167" i="61" a="1"/>
  <c r="E172" i="61" a="1"/>
  <c r="E178" i="61" a="1"/>
  <c r="E20" i="61" a="1"/>
  <c r="E198" i="61" a="1"/>
  <c r="E137" i="61" a="1"/>
  <c r="E65" i="61" a="1"/>
  <c r="E102" i="61" a="1"/>
  <c r="E31" i="61" a="1"/>
  <c r="E191" i="61" a="1"/>
  <c r="E6" i="61" a="1"/>
  <c r="E203" i="61" a="1"/>
  <c r="E211" i="61" a="1"/>
  <c r="E197" i="61" a="1"/>
  <c r="E57" i="61" a="1"/>
  <c r="E28" i="61" a="1"/>
  <c r="E280" i="61" a="1"/>
  <c r="E202" i="61" a="1"/>
  <c r="E234" i="61" a="1"/>
  <c r="E256" i="61" a="1"/>
  <c r="E140" i="61" a="1"/>
  <c r="E13" i="61" a="1"/>
  <c r="E54" i="61" a="1"/>
  <c r="E262" i="61" a="1"/>
  <c r="E187" i="61" a="1"/>
  <c r="E208" i="61" a="1"/>
  <c r="E94" i="61" a="1"/>
  <c r="E58" i="61" a="1"/>
  <c r="E36" i="61" a="1"/>
  <c r="E126" i="61" a="1"/>
  <c r="E93" i="61" a="1"/>
  <c r="E8" i="61" a="1"/>
  <c r="E186" i="61" a="1"/>
  <c r="E175" i="61" a="1"/>
  <c r="E272" i="61" a="1"/>
  <c r="E201" i="61" a="1"/>
  <c r="E159" i="61" a="1"/>
  <c r="E104" i="61" a="1"/>
  <c r="E220" i="61" a="1"/>
  <c r="E49" i="61" a="1"/>
  <c r="E233" i="61" a="1"/>
  <c r="E19" i="61" a="1"/>
  <c r="E76" i="61" a="1"/>
  <c r="E157" i="61" a="1"/>
  <c r="E177" i="61" a="1"/>
  <c r="E257" i="61" a="1"/>
  <c r="E17" i="61" a="1"/>
  <c r="E112" i="61" a="1"/>
  <c r="E82" i="61" a="1"/>
  <c r="E160" i="61" a="1"/>
  <c r="E69" i="61" a="1"/>
  <c r="E162" i="61" a="1"/>
  <c r="E204" i="61" a="1"/>
  <c r="E3" i="61" a="1"/>
  <c r="E161" i="61" a="1"/>
  <c r="E48" i="61" a="1"/>
  <c r="E83" i="61" a="1"/>
  <c r="E458" i="54" a="1"/>
  <c r="E678" i="54" a="1"/>
  <c r="E394" i="54" a="1"/>
  <c r="E439" i="54" a="1"/>
  <c r="E530" i="54" a="1"/>
  <c r="E163" i="54" a="1"/>
  <c r="E505" i="54" a="1"/>
  <c r="E315" i="54" a="1"/>
  <c r="E154" i="54" a="1"/>
  <c r="E94" i="54" a="1"/>
  <c r="E155" i="54" a="1"/>
  <c r="E673" i="54" a="1"/>
  <c r="E164" i="54" a="1"/>
  <c r="E213" i="54" a="1"/>
  <c r="E638" i="54" a="1"/>
  <c r="E358" i="54" a="1"/>
  <c r="E279" i="54" a="1"/>
  <c r="E203" i="54" a="1"/>
  <c r="E351" i="54" a="1"/>
  <c r="E570" i="54" a="1"/>
  <c r="E162" i="54" a="1"/>
  <c r="E158" i="54" a="1"/>
  <c r="E104" i="54" a="1"/>
  <c r="E304" i="54" a="1"/>
  <c r="E456" i="54" a="1"/>
  <c r="E88" i="54" a="1"/>
  <c r="E602" i="54" a="1"/>
  <c r="E479" i="54" a="1"/>
  <c r="E354" i="54" a="1"/>
  <c r="E126" i="54" a="1"/>
  <c r="E513" i="54" a="1"/>
  <c r="E342" i="54" a="1"/>
  <c r="E444" i="54" a="1"/>
  <c r="E525" i="54" a="1"/>
  <c r="E661" i="54" a="1"/>
  <c r="E379" i="54" a="1"/>
  <c r="E298" i="54" a="1"/>
  <c r="E676" i="54" a="1"/>
  <c r="E550" i="54" a="1"/>
  <c r="E333" i="54" a="1"/>
  <c r="E73" i="54" a="1"/>
  <c r="E316" i="54" a="1"/>
  <c r="E256" i="54" a="1"/>
  <c r="E515" i="54" a="1"/>
  <c r="E273" i="54" a="1"/>
  <c r="E614" i="54" a="1"/>
  <c r="E259" i="54" a="1"/>
  <c r="E369" i="54" a="1"/>
  <c r="E206" i="54" a="1"/>
  <c r="E361" i="54" a="1"/>
  <c r="E192" i="54" a="1"/>
  <c r="E52" i="54" a="1"/>
  <c r="E510" i="54" a="1"/>
  <c r="E452" i="54" a="1"/>
  <c r="E257" i="54" a="1"/>
  <c r="E76" i="54" a="1"/>
  <c r="E668" i="54" a="1"/>
  <c r="E288" i="54" a="1"/>
  <c r="E27" i="54" a="1"/>
  <c r="E260" i="54" a="1"/>
  <c r="E578" i="54" a="1"/>
  <c r="E419" i="54" a="1"/>
  <c r="E221" i="54" a="1"/>
  <c r="E103" i="54" a="1"/>
  <c r="E218" i="54" a="1"/>
  <c r="E672" i="54" a="1"/>
  <c r="E67" i="54" a="1"/>
  <c r="E93" i="54" a="1"/>
  <c r="E182" i="54" a="1"/>
  <c r="E372" i="54" a="1"/>
  <c r="E212" i="54" a="1"/>
  <c r="E656" i="54" a="1"/>
  <c r="E124" i="54" a="1"/>
  <c r="E224" i="54" a="1"/>
  <c r="E62" i="54" a="1"/>
  <c r="E368" i="54" a="1"/>
  <c r="E323" i="54" a="1"/>
  <c r="E311" i="54" a="1"/>
  <c r="E386" i="54" a="1"/>
  <c r="E132" i="54" a="1"/>
  <c r="E675" i="54" a="1"/>
  <c r="E502" i="54" a="1"/>
  <c r="E170" i="54" a="1"/>
  <c r="E325" i="54" a="1"/>
  <c r="E71" i="54" a="1"/>
  <c r="E488" i="54" a="1"/>
  <c r="E573" i="54" a="1"/>
  <c r="E327" i="54" a="1"/>
  <c r="E537" i="54" a="1"/>
  <c r="E33" i="54" a="1"/>
  <c r="E105" i="54" a="1"/>
  <c r="E156" i="54" a="1"/>
  <c r="E575" i="54" a="1"/>
  <c r="E185" i="54" a="1"/>
  <c r="E306" i="54" a="1"/>
  <c r="E66" i="54" a="1"/>
  <c r="E670" i="54" a="1"/>
  <c r="E378" i="54" a="1"/>
  <c r="E591" i="54" a="1"/>
  <c r="E576" i="54" a="1"/>
  <c r="E433" i="54" a="1"/>
  <c r="E297" i="54" a="1"/>
  <c r="E276" i="54" a="1"/>
  <c r="E584" i="54" a="1"/>
  <c r="E293" i="54" a="1"/>
  <c r="E644" i="54" a="1"/>
  <c r="E196" i="54" a="1"/>
  <c r="E245" i="54" a="1"/>
  <c r="E211" i="54" a="1"/>
  <c r="E443" i="54" a="1"/>
  <c r="E562" i="54" a="1"/>
  <c r="E303" i="54" a="1"/>
  <c r="E121" i="54" a="1"/>
  <c r="E195" i="54" a="1"/>
  <c r="E526" i="54" a="1"/>
  <c r="E72" i="54" a="1"/>
  <c r="E401" i="54" a="1"/>
  <c r="E417" i="54" a="1"/>
  <c r="E149" i="54" a="1"/>
  <c r="E411" i="54" a="1"/>
  <c r="E364" i="54" a="1"/>
  <c r="E437" i="54" a="1"/>
  <c r="E15" i="54" a="1"/>
  <c r="E646" i="54" a="1"/>
  <c r="E230" i="54" a="1"/>
  <c r="E102" i="54" a="1"/>
  <c r="E214" i="54" a="1"/>
  <c r="E679" i="54" a="1"/>
  <c r="E174" i="54" a="1"/>
  <c r="E447" i="54" a="1"/>
  <c r="E326" i="54" a="1"/>
  <c r="E367" i="54" a="1"/>
  <c r="E424" i="54" a="1"/>
  <c r="E468" i="54" a="1"/>
  <c r="E234" i="54" a="1"/>
  <c r="E398" i="54" a="1"/>
  <c r="E239" i="54" a="1"/>
  <c r="E302" i="54" a="1"/>
  <c r="E598" i="54" a="1"/>
  <c r="E39" i="54" a="1"/>
  <c r="E34" i="54" a="1"/>
  <c r="E61" i="54" a="1"/>
  <c r="E592" i="54" a="1"/>
  <c r="E355" i="54" a="1"/>
  <c r="E577" i="54" a="1"/>
  <c r="E29" i="54" a="1"/>
  <c r="E611" i="54" a="1"/>
  <c r="E313" i="54" a="1"/>
  <c r="E21" i="54" a="1"/>
  <c r="E79" i="54" a="1"/>
  <c r="E389" i="54" a="1"/>
  <c r="E665" i="54" a="1"/>
  <c r="E568" i="54" a="1"/>
  <c r="E465" i="54" a="1"/>
  <c r="E370" i="54" a="1"/>
  <c r="E546" i="54" a="1"/>
  <c r="E74" i="54" a="1"/>
  <c r="E627" i="54" a="1"/>
  <c r="E349" i="54" a="1"/>
  <c r="E26" i="54" a="1"/>
  <c r="E114" i="54" a="1"/>
  <c r="E397" i="54" a="1"/>
  <c r="E536" i="54" a="1"/>
  <c r="E250" i="54" a="1"/>
  <c r="E500" i="54" a="1"/>
  <c r="E227" i="54" a="1"/>
  <c r="E265" i="54" a="1"/>
  <c r="E509" i="54" a="1"/>
  <c r="E89" i="54" a="1"/>
  <c r="E667" i="54" a="1"/>
  <c r="E390" i="54" a="1"/>
  <c r="E606" i="54" a="1"/>
  <c r="E107" i="54" a="1"/>
  <c r="E404" i="54" a="1"/>
  <c r="E310" i="54" a="1"/>
  <c r="E280" i="54" a="1"/>
  <c r="E179" i="54" a="1"/>
  <c r="E617" i="54" a="1"/>
  <c r="E359" i="54" a="1"/>
  <c r="E382" i="54" a="1"/>
  <c r="E636" i="54" a="1"/>
  <c r="E508" i="54" a="1"/>
  <c r="E383" i="54" a="1"/>
  <c r="E301" i="54" a="1"/>
  <c r="E520" i="54" a="1"/>
  <c r="E558" i="54" a="1"/>
  <c r="E588" i="54" a="1"/>
  <c r="E534" i="54" a="1"/>
  <c r="E90" i="54" a="1"/>
  <c r="E496" i="54" a="1"/>
  <c r="E590" i="54" a="1"/>
  <c r="E640" i="54" a="1"/>
  <c r="E83" i="54" a="1"/>
  <c r="E13" i="54" a="1"/>
  <c r="E557" i="54" a="1"/>
  <c r="E626" i="54" a="1"/>
  <c r="E448" i="54" a="1"/>
  <c r="E65" i="54" a="1"/>
  <c r="E561" i="54" a="1"/>
  <c r="E371" i="54" a="1"/>
  <c r="E335" i="54" a="1"/>
  <c r="E119" i="54" a="1"/>
  <c r="E555" i="54" a="1"/>
  <c r="E551" i="54" a="1"/>
  <c r="E127" i="54" a="1"/>
  <c r="E86" i="54" a="1"/>
  <c r="E631" i="54" a="1"/>
  <c r="E373" i="54" a="1"/>
  <c r="E232" i="54" a="1"/>
  <c r="E441" i="54" a="1"/>
  <c r="E153" i="54" a="1"/>
  <c r="E270" i="54" a="1"/>
  <c r="E324" i="54" a="1"/>
  <c r="E8" i="54" a="1"/>
  <c r="E272" i="54" a="1"/>
  <c r="E613" i="54" a="1"/>
  <c r="E648" i="54" a="1"/>
  <c r="E440" i="54" a="1"/>
  <c r="E145" i="54" a="1"/>
  <c r="E622" i="54" a="1"/>
  <c r="E360" i="54" a="1"/>
  <c r="E467" i="54" a="1"/>
  <c r="E99" i="54" a="1"/>
  <c r="E353" i="54" a="1"/>
  <c r="E166" i="54" a="1"/>
  <c r="E180" i="54" a="1"/>
  <c r="E106" i="54" a="1"/>
  <c r="E31" i="54" a="1"/>
  <c r="E136" i="54" a="1"/>
  <c r="E91" i="54" a="1"/>
  <c r="E254" i="54" a="1"/>
  <c r="E330" i="54" a="1"/>
  <c r="E455" i="54" a="1"/>
  <c r="E428" i="54" a="1"/>
  <c r="E134" i="54" a="1"/>
  <c r="E117" i="54" a="1"/>
  <c r="E600" i="54" a="1"/>
  <c r="E85" i="54" a="1"/>
  <c r="E493" i="54" a="1"/>
  <c r="E652" i="54" a="1"/>
  <c r="E51" i="54" a="1"/>
  <c r="E412" i="54" a="1"/>
  <c r="E240" i="54" a="1"/>
  <c r="E579" i="54" a="1"/>
  <c r="E3" i="54" a="1"/>
  <c r="E55" i="54" a="1"/>
  <c r="E144" i="54" a="1"/>
  <c r="E235" i="54" a="1"/>
  <c r="E178" i="54" a="1"/>
  <c r="E423" i="54" a="1"/>
  <c r="E128" i="54" a="1"/>
  <c r="E274" i="54" a="1"/>
  <c r="E569" i="54" a="1"/>
  <c r="E322" i="54" a="1"/>
  <c r="E41" i="54" a="1"/>
  <c r="E445" i="54" a="1"/>
  <c r="E547" i="54" a="1"/>
  <c r="E249" i="54" a="1"/>
  <c r="E193" i="54" a="1"/>
  <c r="E477" i="54" a="1"/>
  <c r="E518" i="54" a="1"/>
  <c r="E410" i="54" a="1"/>
  <c r="E24" i="54" a="1"/>
  <c r="E95" i="54" a="1"/>
  <c r="E653" i="54" a="1"/>
  <c r="E122" i="54" a="1"/>
  <c r="E612" i="54" a="1"/>
  <c r="E84" i="54" a="1"/>
  <c r="E202" i="54" a="1"/>
  <c r="E321" i="54" a="1"/>
  <c r="E209" i="54" a="1"/>
  <c r="E396" i="54" a="1"/>
  <c r="E220" i="54" a="1"/>
  <c r="E45" i="54" a="1"/>
  <c r="E542" i="54" a="1"/>
  <c r="E405" i="54" a="1"/>
  <c r="E628" i="54" a="1"/>
  <c r="E605" i="54" a="1"/>
  <c r="E258" i="54" a="1"/>
  <c r="E669" i="54" a="1"/>
  <c r="E340" i="54" a="1"/>
  <c r="E267" i="54" a="1"/>
  <c r="E283" i="54" a="1"/>
  <c r="E285" i="54" a="1"/>
  <c r="E255" i="54" a="1"/>
  <c r="E473" i="54" a="1"/>
  <c r="E281" i="54" a="1"/>
  <c r="E336" i="54" a="1"/>
  <c r="E446" i="54" a="1"/>
  <c r="E130" i="54" a="1"/>
  <c r="E655" i="54" a="1"/>
  <c r="E7" i="54" a="1"/>
  <c r="E23" i="54" a="1"/>
  <c r="E533" i="54" a="1"/>
  <c r="E264" i="54" a="1"/>
  <c r="E269" i="54" a="1"/>
  <c r="E413" i="54" a="1"/>
  <c r="E425" i="54" a="1"/>
  <c r="E36" i="54" a="1"/>
  <c r="E151" i="54" a="1"/>
  <c r="E97" i="54" a="1"/>
  <c r="E294" i="54" a="1"/>
  <c r="E377" i="54" a="1"/>
  <c r="E357" i="54" a="1"/>
  <c r="E548" i="54" a="1"/>
  <c r="E553" i="54" a="1"/>
  <c r="E12" i="54" a="1"/>
  <c r="E341" i="54" a="1"/>
  <c r="E414" i="54" a="1"/>
  <c r="E44" i="54" a="1"/>
  <c r="E585" i="54" a="1"/>
  <c r="E108" i="54" a="1"/>
  <c r="E314" i="54" a="1"/>
  <c r="E421" i="54" a="1"/>
  <c r="E650" i="54" a="1"/>
  <c r="E75" i="54" a="1"/>
  <c r="E580" i="54" a="1"/>
  <c r="E125" i="54" a="1"/>
  <c r="E478" i="54" a="1"/>
  <c r="E6" i="54" a="1"/>
  <c r="E100" i="54" a="1"/>
  <c r="E582" i="54" a="1"/>
  <c r="E186" i="54" a="1"/>
  <c r="E662" i="54" a="1"/>
  <c r="E607" i="54" a="1"/>
  <c r="E619" i="54" a="1"/>
  <c r="E140" i="54" a="1"/>
  <c r="E123" i="54" a="1"/>
  <c r="E495" i="54" a="1"/>
  <c r="E645" i="54" a="1"/>
  <c r="E400" i="54" a="1"/>
  <c r="E522" i="54" a="1"/>
  <c r="E305" i="54" a="1"/>
  <c r="E223" i="54" a="1"/>
  <c r="E507" i="54" a="1"/>
  <c r="E681" i="54" a="1"/>
  <c r="E677" i="54" a="1"/>
  <c r="E531" i="54" a="1"/>
  <c r="E48" i="54" a="1"/>
  <c r="E81" i="54" a="1"/>
  <c r="E438" i="54" a="1"/>
  <c r="E497" i="54" a="1"/>
  <c r="E317" i="54" a="1"/>
  <c r="E387" i="54" a="1"/>
  <c r="E138" i="54" a="1"/>
  <c r="E427" i="54" a="1"/>
  <c r="E399" i="54" a="1"/>
  <c r="E538" i="54" a="1"/>
  <c r="E142" i="54" a="1"/>
  <c r="E403" i="54" a="1"/>
  <c r="E242" i="54" a="1"/>
  <c r="E521" i="54" a="1"/>
  <c r="E363" i="54" a="1"/>
  <c r="E131" i="54" a="1"/>
  <c r="E583" i="54" a="1"/>
  <c r="E175" i="54" a="1"/>
  <c r="E332" i="54" a="1"/>
  <c r="E60" i="54" a="1"/>
  <c r="E380" i="54" a="1"/>
  <c r="E483" i="54" a="1"/>
  <c r="E46" i="54" a="1"/>
  <c r="E408" i="54" a="1"/>
  <c r="E198" i="54" a="1"/>
  <c r="E601" i="54" a="1"/>
  <c r="E388" i="54" a="1"/>
  <c r="E277" i="54" a="1"/>
  <c r="E63" i="54" a="1"/>
  <c r="E263" i="54" a="1"/>
  <c r="E376" i="54" a="1"/>
  <c r="E472" i="54" a="1"/>
  <c r="E651" i="54" a="1"/>
  <c r="E261" i="54" a="1"/>
  <c r="E296" i="54" a="1"/>
  <c r="E137" i="54" a="1"/>
  <c r="E98" i="54" a="1"/>
  <c r="E560" i="54" a="1"/>
  <c r="E498" i="54" a="1"/>
  <c r="E320" i="54" a="1"/>
  <c r="E596" i="54" a="1"/>
  <c r="E112" i="54" a="1"/>
  <c r="E474" i="54" a="1"/>
  <c r="E647" i="54" a="1"/>
  <c r="E494" i="54" a="1"/>
  <c r="E618" i="54" a="1"/>
  <c r="E219" i="54" a="1"/>
  <c r="E246" i="54" a="1"/>
  <c r="E57" i="54" a="1"/>
  <c r="E392" i="54" a="1"/>
  <c r="E139" i="54" a="1"/>
  <c r="E295" i="54" a="1"/>
  <c r="E529" i="54" a="1"/>
  <c r="E37" i="54" a="1"/>
  <c r="E385" i="54" a="1"/>
  <c r="E262" i="54" a="1"/>
  <c r="E416" i="54" a="1"/>
  <c r="E346" i="54" a="1"/>
  <c r="E344" i="54" a="1"/>
  <c r="E574" i="54" a="1"/>
  <c r="E459" i="54" a="1"/>
  <c r="E572" i="54" a="1"/>
  <c r="E238" i="54" a="1"/>
  <c r="E666" i="54" a="1"/>
  <c r="E586" i="54" a="1"/>
  <c r="E120" i="54" a="1"/>
  <c r="E476" i="54" a="1"/>
  <c r="E535" i="54" a="1"/>
  <c r="E549" i="54" a="1"/>
  <c r="E290" i="54" a="1"/>
  <c r="E210" i="54" a="1"/>
  <c r="E624" i="54" a="1"/>
  <c r="E658" i="54" a="1"/>
  <c r="E82" i="54" a="1"/>
  <c r="E450" i="54" a="1"/>
  <c r="E69" i="54" a="1"/>
  <c r="E111" i="54" a="1"/>
  <c r="E543" i="54" a="1"/>
  <c r="E312" i="54" a="1"/>
  <c r="E434" i="54" a="1"/>
  <c r="E594" i="54" a="1"/>
  <c r="E422" i="54" a="1"/>
  <c r="E266" i="54" a="1"/>
  <c r="E228" i="54" a="1"/>
  <c r="E492" i="54" a="1"/>
  <c r="E595" i="54" a="1"/>
  <c r="E147" i="54" a="1"/>
  <c r="E30" i="54" a="1"/>
  <c r="E299" i="54" a="1"/>
  <c r="E183" i="54" a="1"/>
  <c r="E432" i="54" a="1"/>
  <c r="E171" i="54" a="1"/>
  <c r="E291" i="54" a="1"/>
  <c r="E109" i="54" a="1"/>
  <c r="E113" i="54" a="1"/>
  <c r="E118" i="54" a="1"/>
  <c r="E309" i="54" a="1"/>
  <c r="E199" i="54" a="1"/>
  <c r="E22" i="54" a="1"/>
  <c r="E420" i="54" a="1"/>
  <c r="E205" i="54" a="1"/>
  <c r="E116" i="54" a="1"/>
  <c r="E177" i="54" a="1"/>
  <c r="E159" i="54" a="1"/>
  <c r="E300" i="54" a="1"/>
  <c r="E172" i="54" a="1"/>
  <c r="E160" i="54" a="1"/>
  <c r="E241" i="54" a="1"/>
  <c r="E461" i="54" a="1"/>
  <c r="E133" i="54" a="1"/>
  <c r="E338" i="54" a="1"/>
  <c r="E17" i="54" a="1"/>
  <c r="E268" i="54" a="1"/>
  <c r="E621" i="54" a="1"/>
  <c r="E53" i="54" a="1"/>
  <c r="E503" i="54" a="1"/>
  <c r="E331" i="54" a="1"/>
  <c r="E150" i="54" a="1"/>
  <c r="E348" i="54" a="1"/>
  <c r="E485" i="54" a="1"/>
  <c r="E334" i="54" a="1"/>
  <c r="E20" i="54" a="1"/>
  <c r="E252" i="54" a="1"/>
  <c r="E541" i="54" a="1"/>
  <c r="E248" i="54" a="1"/>
  <c r="E356" i="54" a="1"/>
  <c r="E571" i="54" a="1"/>
  <c r="E4" i="54" a="1"/>
  <c r="E10" i="54" a="1"/>
  <c r="E674" i="54" a="1"/>
  <c r="E599" i="54" a="1"/>
  <c r="E587" i="54" a="1"/>
  <c r="E597" i="54" a="1"/>
  <c r="E460" i="54" a="1"/>
  <c r="E231" i="54" a="1"/>
  <c r="E391" i="54" a="1"/>
  <c r="E365" i="54" a="1"/>
  <c r="E407" i="54" a="1"/>
  <c r="E641" i="54" a="1"/>
  <c r="E517" i="54" a="1"/>
  <c r="E115" i="54" a="1"/>
  <c r="E251" i="54" a="1"/>
  <c r="E642" i="54" a="1"/>
  <c r="E480" i="54" a="1"/>
  <c r="E173" i="54" a="1"/>
  <c r="E442" i="54" a="1"/>
  <c r="E630" i="54" a="1"/>
  <c r="E284" i="54" a="1"/>
  <c r="E70" i="54" a="1"/>
  <c r="E415" i="54" a="1"/>
  <c r="E292" i="54" a="1"/>
  <c r="E426" i="54" a="1"/>
  <c r="E499" i="54" a="1"/>
  <c r="E141" i="54" a="1"/>
  <c r="E77" i="54" a="1"/>
  <c r="E50" i="54" a="1"/>
  <c r="E634" i="54" a="1"/>
  <c r="E475" i="54" a="1"/>
  <c r="E519" i="54" a="1"/>
  <c r="E565" i="54" a="1"/>
  <c r="E430" i="54" a="1"/>
  <c r="E559" i="54" a="1"/>
  <c r="E589" i="54" a="1"/>
  <c r="E625" i="54" a="1"/>
  <c r="E463" i="54" a="1"/>
  <c r="E660" i="54" a="1"/>
  <c r="E308" i="54" a="1"/>
  <c r="E318" i="54" a="1"/>
  <c r="E680" i="54" a="1"/>
  <c r="E556" i="54" a="1"/>
  <c r="E47" i="54" a="1"/>
  <c r="E453" i="54" a="1"/>
  <c r="E168" i="54" a="1"/>
  <c r="E201" i="54" a="1"/>
  <c r="E286" i="54" a="1"/>
  <c r="E429" i="54" a="1"/>
  <c r="E664" i="54" a="1"/>
  <c r="E152" i="54" a="1"/>
  <c r="E482" i="54" a="1"/>
  <c r="E282" i="54" a="1"/>
  <c r="E512" i="54" a="1"/>
  <c r="E307" i="54" a="1"/>
  <c r="E504" i="54" a="1"/>
  <c r="E190" i="54" a="1"/>
  <c r="E275" i="54" a="1"/>
  <c r="E486" i="54" a="1"/>
  <c r="E339" i="54" a="1"/>
  <c r="E484" i="54" a="1"/>
  <c r="E466" i="54" a="1"/>
  <c r="E176" i="54" a="1"/>
  <c r="E189" i="54" a="1"/>
  <c r="E191" i="54" a="1"/>
  <c r="E623" i="54" a="1"/>
  <c r="E487" i="54" a="1"/>
  <c r="E563" i="54" a="1"/>
  <c r="E524" i="54" a="1"/>
  <c r="E567" i="54" a="1"/>
  <c r="E527" i="54" a="1"/>
  <c r="E511" i="54" a="1"/>
  <c r="E287" i="54" a="1"/>
  <c r="E207" i="54" a="1"/>
  <c r="E566" i="54" a="1"/>
  <c r="E469" i="54" a="1"/>
  <c r="E402" i="54" a="1"/>
  <c r="E609" i="54" a="1"/>
  <c r="E236" i="54" a="1"/>
  <c r="E187" i="54" a="1"/>
  <c r="E603" i="54" a="1"/>
  <c r="E253" i="54" a="1"/>
  <c r="E544" i="54" a="1"/>
  <c r="E481" i="54" a="1"/>
  <c r="E654" i="54" a="1"/>
  <c r="E43" i="54" a="1"/>
  <c r="E101" i="54" a="1"/>
  <c r="E87" i="54" a="1"/>
  <c r="E620" i="54" a="1"/>
  <c r="E451" i="54" a="1"/>
  <c r="E129" i="54" a="1"/>
  <c r="E395" i="54" a="1"/>
  <c r="E564" i="54" a="1"/>
  <c r="E350" i="54" a="1"/>
  <c r="E329" i="54" a="1"/>
  <c r="E49" i="54" a="1"/>
  <c r="E56" i="54" a="1"/>
  <c r="E247" i="54" a="1"/>
  <c r="E554" i="54" a="1"/>
  <c r="E40" i="54" a="1"/>
  <c r="E449" i="54" a="1"/>
  <c r="E9" i="54" a="1"/>
  <c r="E181" i="54" a="1"/>
  <c r="E604" i="54" a="1"/>
  <c r="E54" i="54" a="1"/>
  <c r="E409" i="54" a="1"/>
  <c r="E204" i="54" a="1"/>
  <c r="E146" i="54" a="1"/>
  <c r="E143" i="54" a="1"/>
  <c r="E216" i="54" a="1"/>
  <c r="E516" i="54" a="1"/>
  <c r="E352" i="54" a="1"/>
  <c r="E184" i="54" a="1"/>
  <c r="E506" i="54" a="1"/>
  <c r="E362" i="54" a="1"/>
  <c r="E289" i="54" a="1"/>
  <c r="E436" i="54" a="1"/>
  <c r="E161" i="54" a="1"/>
  <c r="E374" i="54" a="1"/>
  <c r="E64" i="54" a="1"/>
  <c r="E169" i="54" a="1"/>
  <c r="E92" i="54" a="1"/>
  <c r="E540" i="54" a="1"/>
  <c r="E491" i="54" a="1"/>
  <c r="E167" i="54" a="1"/>
  <c r="E233" i="54" a="1"/>
  <c r="E552" i="54" a="1"/>
  <c r="E59" i="54" a="1"/>
  <c r="E629" i="54" a="1"/>
  <c r="E489" i="54" a="1"/>
  <c r="E222" i="54" a="1"/>
  <c r="E11" i="54" a="1"/>
  <c r="E632" i="54" a="1"/>
  <c r="E157" i="54" a="1"/>
  <c r="E337" i="54" a="1"/>
  <c r="E635" i="54" a="1"/>
  <c r="E135" i="54" a="1"/>
  <c r="E19" i="54" a="1"/>
  <c r="E581" i="54" a="1"/>
  <c r="E5" i="54" a="1"/>
  <c r="E637" i="54" a="1"/>
  <c r="E32" i="54" a="1"/>
  <c r="E188" i="54" a="1"/>
  <c r="E470" i="54" a="1"/>
  <c r="E393" i="54" a="1"/>
  <c r="E229" i="54" a="1"/>
  <c r="E148" i="54" a="1"/>
  <c r="E593" i="54" a="1"/>
  <c r="E110" i="54" a="1"/>
  <c r="E197" i="54" a="1"/>
  <c r="E217" i="54" a="1"/>
  <c r="E501" i="54" a="1"/>
  <c r="E418" i="54" a="1"/>
  <c r="E639" i="54" a="1"/>
  <c r="E663" i="54" a="1"/>
  <c r="E244" i="54" a="1"/>
  <c r="E528" i="54" a="1"/>
  <c r="E194" i="54" a="1"/>
  <c r="E16" i="54" a="1"/>
  <c r="E539" i="54" a="1"/>
  <c r="E347" i="54" a="1"/>
  <c r="E271" i="54" a="1"/>
  <c r="E454" i="54" a="1"/>
  <c r="E514" i="54" a="1"/>
  <c r="E2" i="54" a="1"/>
  <c r="E616" i="54" a="1"/>
  <c r="E38" i="54" a="1"/>
  <c r="E615" i="54" a="1"/>
  <c r="E471" i="54" a="1"/>
  <c r="E328" i="54" a="1"/>
  <c r="E431" i="54" a="1"/>
  <c r="E610" i="54" a="1"/>
  <c r="E68" i="54" a="1"/>
  <c r="E366" i="54" a="1"/>
  <c r="E28" i="54" a="1"/>
  <c r="E343" i="54" a="1"/>
  <c r="E345" i="54" a="1"/>
  <c r="E657" i="54" a="1"/>
  <c r="E545" i="54" a="1"/>
  <c r="E96" i="54" a="1"/>
  <c r="E608" i="54" a="1"/>
  <c r="E384" i="54" a="1"/>
  <c r="E435" i="54" a="1"/>
  <c r="E18" i="54" a="1"/>
  <c r="E237" i="54" a="1"/>
  <c r="E58" i="54" a="1"/>
  <c r="E243" i="54" a="1"/>
  <c r="E78" i="54" a="1"/>
  <c r="E80" i="54" a="1"/>
  <c r="E35" i="54" a="1"/>
  <c r="E25" i="54" a="1"/>
  <c r="E490" i="54" a="1"/>
  <c r="E457" i="54" a="1"/>
  <c r="E319" i="54" a="1"/>
  <c r="E375" i="54" a="1"/>
  <c r="E165" i="54" a="1"/>
  <c r="E643" i="54" a="1"/>
  <c r="E225" i="54" a="1"/>
  <c r="E659" i="54" a="1"/>
  <c r="E462" i="54" a="1"/>
  <c r="E633" i="54" a="1"/>
  <c r="E406" i="54" a="1"/>
  <c r="E523" i="54" a="1"/>
  <c r="E464" i="54" a="1"/>
  <c r="E226" i="54" a="1"/>
  <c r="E532" i="54" a="1"/>
  <c r="E200" i="54" a="1"/>
  <c r="E14" i="54" a="1"/>
  <c r="E381" i="54" a="1"/>
  <c r="E649" i="54" a="1"/>
  <c r="E42" i="54" a="1"/>
  <c r="E278" i="54" a="1"/>
  <c r="E671" i="54" a="1"/>
  <c r="E208" i="54" a="1"/>
  <c r="E215" i="54" a="1"/>
  <c r="O16" i="47"/>
  <c r="H23" i="47"/>
  <c r="H3" i="47"/>
  <c r="E112" i="61" l="1"/>
  <c r="E421" i="54"/>
  <c r="E59" i="61"/>
  <c r="E36" i="61"/>
  <c r="E425" i="54"/>
  <c r="E337" i="54"/>
  <c r="E286" i="54"/>
  <c r="E522" i="54"/>
  <c r="E7" i="54"/>
  <c r="E621" i="54"/>
  <c r="E222" i="61"/>
  <c r="E422" i="54"/>
  <c r="E503" i="54"/>
  <c r="E463" i="54"/>
  <c r="E624" i="54"/>
  <c r="E115" i="54"/>
  <c r="E450" i="54"/>
  <c r="E680" i="54"/>
  <c r="E321" i="54"/>
  <c r="E136" i="54"/>
  <c r="E131" i="61"/>
  <c r="E492" i="54"/>
  <c r="E282" i="54"/>
  <c r="E644" i="54"/>
  <c r="E633" i="54"/>
  <c r="E554" i="54"/>
  <c r="E187" i="61"/>
  <c r="E240" i="61"/>
  <c r="E249" i="61"/>
  <c r="E186" i="61"/>
  <c r="E154" i="54"/>
  <c r="E647" i="54"/>
  <c r="E533" i="54"/>
  <c r="E208" i="54"/>
  <c r="E177" i="61"/>
  <c r="E553" i="54"/>
  <c r="E148" i="61"/>
  <c r="E495" i="54"/>
  <c r="E213" i="61"/>
  <c r="E643" i="54"/>
  <c r="E227" i="61"/>
  <c r="E156" i="54"/>
  <c r="E452" i="54"/>
  <c r="E478" i="54"/>
  <c r="E440" i="54"/>
  <c r="E6" i="61"/>
  <c r="E63" i="54"/>
  <c r="E351" i="54"/>
  <c r="E144" i="61"/>
  <c r="E38" i="54"/>
  <c r="E90" i="54"/>
  <c r="E91" i="54"/>
  <c r="E326" i="54"/>
  <c r="E201" i="54"/>
  <c r="E85" i="54"/>
  <c r="E167" i="61"/>
  <c r="E107" i="54"/>
  <c r="E7" i="61"/>
  <c r="E593" i="54"/>
  <c r="E536" i="54"/>
  <c r="E423" i="54"/>
  <c r="E357" i="54"/>
  <c r="E26" i="54"/>
  <c r="E243" i="54"/>
  <c r="E547" i="54"/>
  <c r="E602" i="54"/>
  <c r="E407" i="54"/>
  <c r="E548" i="54"/>
  <c r="E13" i="54"/>
  <c r="E461" i="54"/>
  <c r="E177" i="54"/>
  <c r="E173" i="61"/>
  <c r="E123" i="54"/>
  <c r="E516" i="54"/>
  <c r="E220" i="61"/>
  <c r="E549" i="54"/>
  <c r="E493" i="54"/>
  <c r="E257" i="54"/>
  <c r="E45" i="54"/>
  <c r="E210" i="54"/>
  <c r="E597" i="54"/>
  <c r="E245" i="54"/>
  <c r="E61" i="54"/>
  <c r="E44" i="54"/>
  <c r="E43" i="61"/>
  <c r="E76" i="54"/>
  <c r="E166" i="54"/>
  <c r="E428" i="54"/>
  <c r="E311" i="54"/>
  <c r="E62" i="61"/>
  <c r="E113" i="54"/>
  <c r="E252" i="54"/>
  <c r="E115" i="61"/>
  <c r="E63" i="61"/>
  <c r="E257" i="61"/>
  <c r="E274" i="54"/>
  <c r="E138" i="54"/>
  <c r="E149" i="61"/>
  <c r="E453" i="54"/>
  <c r="E261" i="61"/>
  <c r="E445" i="54"/>
  <c r="E109" i="54"/>
  <c r="E367" i="54"/>
  <c r="E81" i="54"/>
  <c r="E14" i="61"/>
  <c r="E8" i="61"/>
  <c r="E180" i="54"/>
  <c r="E174" i="54"/>
  <c r="E276" i="61"/>
  <c r="E488" i="54"/>
  <c r="E405" i="54"/>
  <c r="E361" i="54"/>
  <c r="E333" i="54"/>
  <c r="E432" i="54"/>
  <c r="E71" i="61"/>
  <c r="E260" i="54"/>
  <c r="E101" i="54"/>
  <c r="E35" i="54"/>
  <c r="E162" i="54"/>
  <c r="E53" i="54"/>
  <c r="E272" i="61"/>
  <c r="E144" i="54"/>
  <c r="E564" i="54"/>
  <c r="E71" i="54"/>
  <c r="E251" i="54"/>
  <c r="E605" i="54"/>
  <c r="E280" i="61"/>
  <c r="E117" i="54"/>
  <c r="E212" i="61"/>
  <c r="E230" i="54"/>
  <c r="E234" i="61"/>
  <c r="E39" i="61"/>
  <c r="E159" i="54"/>
  <c r="E402" i="54"/>
  <c r="E398" i="54"/>
  <c r="E156" i="61"/>
  <c r="E388" i="54"/>
  <c r="E48" i="61"/>
  <c r="E658" i="54"/>
  <c r="E220" i="54"/>
  <c r="E556" i="54"/>
  <c r="E539" i="54"/>
  <c r="E623" i="54"/>
  <c r="E199" i="54"/>
  <c r="E588" i="54"/>
  <c r="E264" i="54"/>
  <c r="E592" i="54"/>
  <c r="E338" i="54"/>
  <c r="E327" i="54"/>
  <c r="E241" i="61"/>
  <c r="E212" i="54"/>
  <c r="E613" i="54"/>
  <c r="E555" i="54"/>
  <c r="E466" i="54"/>
  <c r="E54" i="61"/>
  <c r="E446" i="54"/>
  <c r="E59" i="54"/>
  <c r="E201" i="61"/>
  <c r="E426" i="54"/>
  <c r="E204" i="61"/>
  <c r="E76" i="61"/>
  <c r="E145" i="54"/>
  <c r="E94" i="61"/>
  <c r="E14" i="54"/>
  <c r="E302" i="54"/>
  <c r="E296" i="54"/>
  <c r="E313" i="54"/>
  <c r="E106" i="61"/>
  <c r="E163" i="54"/>
  <c r="E137" i="61"/>
  <c r="E65" i="61"/>
  <c r="E31" i="54"/>
  <c r="E89" i="61"/>
  <c r="E24" i="54"/>
  <c r="E258" i="54"/>
  <c r="E252" i="61"/>
  <c r="E292" i="54"/>
  <c r="E291" i="54"/>
  <c r="E394" i="54"/>
  <c r="E161" i="61"/>
  <c r="E598" i="54"/>
  <c r="E424" i="54"/>
  <c r="E474" i="54"/>
  <c r="E140" i="61"/>
  <c r="E209" i="54"/>
  <c r="E372" i="54"/>
  <c r="E406" i="54"/>
  <c r="E637" i="54"/>
  <c r="E165" i="54"/>
  <c r="E272" i="54"/>
  <c r="E23" i="54"/>
  <c r="E610" i="54"/>
  <c r="E545" i="54"/>
  <c r="E17" i="61"/>
  <c r="E179" i="61"/>
  <c r="E211" i="61"/>
  <c r="E489" i="54"/>
  <c r="E105" i="61"/>
  <c r="E24" i="61"/>
  <c r="E408" i="54"/>
  <c r="E546" i="54"/>
  <c r="E417" i="54"/>
  <c r="E662" i="54"/>
  <c r="E206" i="54"/>
  <c r="E287" i="54"/>
  <c r="E666" i="54"/>
  <c r="E153" i="61"/>
  <c r="E185" i="54"/>
  <c r="E26" i="61"/>
  <c r="E9" i="61"/>
  <c r="E571" i="54"/>
  <c r="E618" i="54"/>
  <c r="E47" i="61"/>
  <c r="E275" i="61"/>
  <c r="E200" i="54"/>
  <c r="E58" i="61"/>
  <c r="E140" i="54"/>
  <c r="E96" i="61"/>
  <c r="E74" i="54"/>
  <c r="E322" i="54"/>
  <c r="E60" i="54"/>
  <c r="E261" i="54"/>
  <c r="E73" i="61"/>
  <c r="E85" i="61"/>
  <c r="E78" i="54"/>
  <c r="E6" i="54"/>
  <c r="E465" i="54"/>
  <c r="E663" i="54"/>
  <c r="E347" i="54"/>
  <c r="E657" i="54"/>
  <c r="E491" i="54"/>
  <c r="E197" i="54"/>
  <c r="E275" i="54"/>
  <c r="E87" i="61"/>
  <c r="E51" i="54"/>
  <c r="E416" i="54"/>
  <c r="E467" i="54"/>
  <c r="E184" i="54"/>
  <c r="E46" i="54"/>
  <c r="E251" i="61"/>
  <c r="E175" i="61"/>
  <c r="E42" i="61"/>
  <c r="E565" i="54"/>
  <c r="E250" i="54"/>
  <c r="E88" i="54"/>
  <c r="E187" i="54"/>
  <c r="E28" i="61"/>
  <c r="E273" i="61"/>
  <c r="E314" i="54"/>
  <c r="E665" i="54"/>
  <c r="E249" i="54"/>
  <c r="E53" i="61"/>
  <c r="E52" i="61"/>
  <c r="E196" i="61"/>
  <c r="E168" i="61"/>
  <c r="E246" i="54"/>
  <c r="E210" i="61"/>
  <c r="E297" i="54"/>
  <c r="E152" i="54"/>
  <c r="E419" i="54"/>
  <c r="E535" i="54"/>
  <c r="E98" i="61"/>
  <c r="E267" i="61"/>
  <c r="E122" i="54"/>
  <c r="E632" i="54"/>
  <c r="E679" i="54"/>
  <c r="E628" i="54"/>
  <c r="E121" i="61"/>
  <c r="E195" i="61"/>
  <c r="E139" i="61"/>
  <c r="E511" i="54"/>
  <c r="E476" i="54"/>
  <c r="E21" i="61"/>
  <c r="E363" i="54"/>
  <c r="E18" i="61"/>
  <c r="E186" i="54"/>
  <c r="E25" i="61"/>
  <c r="E253" i="61"/>
  <c r="E194" i="61"/>
  <c r="E611" i="54"/>
  <c r="E34" i="54"/>
  <c r="E507" i="54"/>
  <c r="E462" i="54"/>
  <c r="E79" i="61"/>
  <c r="E573" i="54"/>
  <c r="E89" i="54"/>
  <c r="E3" i="54"/>
  <c r="E188" i="54"/>
  <c r="E273" i="54"/>
  <c r="E515" i="54"/>
  <c r="E585" i="54"/>
  <c r="E459" i="54"/>
  <c r="E236" i="54"/>
  <c r="E523" i="54"/>
  <c r="E263" i="61"/>
  <c r="E544" i="54"/>
  <c r="E540" i="54"/>
  <c r="E681" i="54"/>
  <c r="E135" i="54"/>
  <c r="E529" i="54"/>
  <c r="E399" i="54"/>
  <c r="E427" i="54"/>
  <c r="E475" i="54"/>
  <c r="E353" i="54"/>
  <c r="E460" i="54"/>
  <c r="E262" i="61"/>
  <c r="E150" i="61"/>
  <c r="E206" i="61"/>
  <c r="E654" i="54"/>
  <c r="E569" i="54"/>
  <c r="E96" i="54"/>
  <c r="E250" i="61"/>
  <c r="E111" i="61"/>
  <c r="E256" i="61"/>
  <c r="E390" i="54"/>
  <c r="E343" i="54"/>
  <c r="E58" i="54"/>
  <c r="E231" i="61"/>
  <c r="E3" i="61"/>
  <c r="E160" i="61"/>
  <c r="E13" i="61"/>
  <c r="E468" i="54"/>
  <c r="E90" i="61"/>
  <c r="E534" i="54"/>
  <c r="E149" i="54"/>
  <c r="E214" i="61"/>
  <c r="E151" i="54"/>
  <c r="E661" i="54"/>
  <c r="E110" i="61"/>
  <c r="E69" i="61"/>
  <c r="E104" i="61"/>
  <c r="E119" i="61"/>
  <c r="E360" i="54"/>
  <c r="E62" i="54"/>
  <c r="E116" i="61"/>
  <c r="E4" i="54"/>
  <c r="E125" i="61"/>
  <c r="E498" i="54"/>
  <c r="E413" i="54"/>
  <c r="E579" i="54"/>
  <c r="E352" i="54"/>
  <c r="E568" i="54"/>
  <c r="E181" i="61"/>
  <c r="E51" i="61"/>
  <c r="E247" i="54"/>
  <c r="E505" i="54"/>
  <c r="E21" i="54"/>
  <c r="E83" i="54"/>
  <c r="E138" i="61"/>
  <c r="E285" i="54"/>
  <c r="E79" i="54"/>
  <c r="E418" i="54"/>
  <c r="E68" i="54"/>
  <c r="E30" i="61"/>
  <c r="E52" i="54"/>
  <c r="E37" i="54"/>
  <c r="E239" i="61"/>
  <c r="E12" i="61"/>
  <c r="E216" i="61"/>
  <c r="E331" i="54"/>
  <c r="E260" i="61"/>
  <c r="E178" i="54"/>
  <c r="E234" i="54"/>
  <c r="E198" i="61"/>
  <c r="E43" i="54"/>
  <c r="E551" i="54"/>
  <c r="E172" i="61"/>
  <c r="E56" i="61"/>
  <c r="E247" i="61"/>
  <c r="E129" i="61"/>
  <c r="E221" i="61"/>
  <c r="E110" i="54"/>
  <c r="E158" i="54"/>
  <c r="E36" i="54"/>
  <c r="E190" i="54"/>
  <c r="E574" i="54"/>
  <c r="E42" i="54"/>
  <c r="E625" i="54"/>
  <c r="E543" i="54"/>
  <c r="E64" i="61"/>
  <c r="E95" i="61"/>
  <c r="E94" i="54"/>
  <c r="E470" i="54"/>
  <c r="E241" i="54"/>
  <c r="E244" i="61"/>
  <c r="E590" i="54"/>
  <c r="E108" i="54"/>
  <c r="E202" i="61"/>
  <c r="E638" i="54"/>
  <c r="E299" i="54"/>
  <c r="E27" i="54"/>
  <c r="E650" i="54"/>
  <c r="E612" i="54"/>
  <c r="E232" i="61"/>
  <c r="E130" i="61"/>
  <c r="E32" i="61"/>
  <c r="E72" i="54"/>
  <c r="E601" i="54"/>
  <c r="E170" i="54"/>
  <c r="E102" i="61"/>
  <c r="E640" i="54"/>
  <c r="E192" i="54"/>
  <c r="E80" i="54"/>
  <c r="E276" i="54"/>
  <c r="E599" i="54"/>
  <c r="E22" i="54"/>
  <c r="E240" i="54"/>
  <c r="E164" i="54"/>
  <c r="E18" i="54"/>
  <c r="E410" i="54"/>
  <c r="E576" i="54"/>
  <c r="E122" i="61"/>
  <c r="E447" i="54"/>
  <c r="E47" i="54"/>
  <c r="E279" i="61"/>
  <c r="E482" i="54"/>
  <c r="E559" i="54"/>
  <c r="E256" i="54"/>
  <c r="E319" i="54"/>
  <c r="E101" i="61"/>
  <c r="E191" i="61"/>
  <c r="E55" i="54"/>
  <c r="E329" i="54"/>
  <c r="E54" i="54"/>
  <c r="E57" i="61"/>
  <c r="E438" i="54"/>
  <c r="E366" i="54"/>
  <c r="E31" i="61"/>
  <c r="E443" i="54"/>
  <c r="E391" i="54"/>
  <c r="E362" i="54"/>
  <c r="E281" i="61"/>
  <c r="E381" i="54"/>
  <c r="E451" i="54"/>
  <c r="E614" i="54"/>
  <c r="E262" i="54"/>
  <c r="E106" i="54"/>
  <c r="E49" i="61"/>
  <c r="E675" i="54"/>
  <c r="E219" i="54"/>
  <c r="E385" i="54"/>
  <c r="E169" i="54"/>
  <c r="E365" i="54"/>
  <c r="E134" i="61"/>
  <c r="E604" i="54"/>
  <c r="E420" i="54"/>
  <c r="E35" i="61"/>
  <c r="E40" i="54"/>
  <c r="E132" i="61"/>
  <c r="E246" i="61"/>
  <c r="E124" i="61"/>
  <c r="E469" i="54"/>
  <c r="E316" i="54"/>
  <c r="E171" i="61"/>
  <c r="E20" i="61"/>
  <c r="E202" i="54"/>
  <c r="E583" i="54"/>
  <c r="E572" i="54"/>
  <c r="E178" i="61"/>
  <c r="E433" i="54"/>
  <c r="E379" i="54"/>
  <c r="E100" i="61"/>
  <c r="E16" i="54"/>
  <c r="E226" i="61"/>
  <c r="E308" i="54"/>
  <c r="E162" i="61"/>
  <c r="E341" i="54"/>
  <c r="E481" i="54"/>
  <c r="E141" i="54"/>
  <c r="E320" i="54"/>
  <c r="E561" i="54"/>
  <c r="E232" i="54"/>
  <c r="E373" i="54"/>
  <c r="E105" i="54"/>
  <c r="E118" i="54"/>
  <c r="E245" i="61"/>
  <c r="E668" i="54"/>
  <c r="E431" i="54"/>
  <c r="E125" i="54"/>
  <c r="E100" i="54"/>
  <c r="E176" i="54"/>
  <c r="E211" i="54"/>
  <c r="E430" i="54"/>
  <c r="E458" i="54"/>
  <c r="E580" i="54"/>
  <c r="E527" i="54"/>
  <c r="E166" i="61"/>
  <c r="E157" i="61"/>
  <c r="E289" i="54"/>
  <c r="E84" i="61"/>
  <c r="E510" i="54"/>
  <c r="E205" i="61"/>
  <c r="E455" i="54"/>
  <c r="E237" i="61"/>
  <c r="E277" i="54"/>
  <c r="E513" i="54"/>
  <c r="E400" i="54"/>
  <c r="E497" i="54"/>
  <c r="E159" i="61"/>
  <c r="E429" i="54"/>
  <c r="E17" i="54"/>
  <c r="E631" i="54"/>
  <c r="E82" i="61"/>
  <c r="E86" i="54"/>
  <c r="E293" i="54"/>
  <c r="E142" i="61"/>
  <c r="E582" i="54"/>
  <c r="E570" i="54"/>
  <c r="E154" i="61"/>
  <c r="E531" i="54"/>
  <c r="E103" i="54"/>
  <c r="E508" i="54"/>
  <c r="E155" i="54"/>
  <c r="E317" i="54"/>
  <c r="E171" i="54"/>
  <c r="E185" i="61"/>
  <c r="E235" i="54"/>
  <c r="E265" i="61"/>
  <c r="E238" i="54"/>
  <c r="E242" i="54"/>
  <c r="E370" i="54"/>
  <c r="E270" i="61"/>
  <c r="E264" i="61"/>
  <c r="E629" i="54"/>
  <c r="E41" i="54"/>
  <c r="E151" i="61"/>
  <c r="E83" i="61"/>
  <c r="E538" i="54"/>
  <c r="E519" i="54"/>
  <c r="E642" i="54"/>
  <c r="E600" i="54"/>
  <c r="E635" i="54"/>
  <c r="E318" i="54"/>
  <c r="E350" i="54"/>
  <c r="E233" i="61"/>
  <c r="E344" i="54"/>
  <c r="E301" i="54"/>
  <c r="E575" i="54"/>
  <c r="E114" i="61"/>
  <c r="E67" i="61"/>
  <c r="E204" i="54"/>
  <c r="E506" i="54"/>
  <c r="E670" i="54"/>
  <c r="E368" i="54"/>
  <c r="E290" i="54"/>
  <c r="E114" i="54"/>
  <c r="E196" i="54"/>
  <c r="E163" i="61"/>
  <c r="E532" i="54"/>
  <c r="E19" i="61"/>
  <c r="E349" i="54"/>
  <c r="E197" i="61"/>
  <c r="E358" i="54"/>
  <c r="E92" i="61"/>
  <c r="E131" i="54"/>
  <c r="E128" i="54"/>
  <c r="E288" i="54"/>
  <c r="E226" i="54"/>
  <c r="E609" i="54"/>
  <c r="E11" i="61"/>
  <c r="E157" i="54"/>
  <c r="E146" i="61"/>
  <c r="E91" i="61"/>
  <c r="E359" i="54"/>
  <c r="E673" i="54"/>
  <c r="E116" i="54"/>
  <c r="E526" i="54"/>
  <c r="E57" i="54"/>
  <c r="E215" i="54"/>
  <c r="E75" i="54"/>
  <c r="E266" i="61"/>
  <c r="E396" i="54"/>
  <c r="E183" i="54"/>
  <c r="E278" i="54"/>
  <c r="E189" i="61"/>
  <c r="E377" i="54"/>
  <c r="E133" i="54"/>
  <c r="E356" i="54"/>
  <c r="E10" i="54"/>
  <c r="E50" i="54"/>
  <c r="E655" i="54"/>
  <c r="E239" i="54"/>
  <c r="E118" i="61"/>
  <c r="E376" i="54"/>
  <c r="E112" i="54"/>
  <c r="E29" i="54"/>
  <c r="E607" i="54"/>
  <c r="E667" i="54"/>
  <c r="E442" i="54"/>
  <c r="E61" i="61"/>
  <c r="E56" i="54"/>
  <c r="E490" i="54"/>
  <c r="E384" i="54"/>
  <c r="E566" i="54"/>
  <c r="E200" i="61"/>
  <c r="E595" i="54"/>
  <c r="E304" i="54"/>
  <c r="E23" i="61"/>
  <c r="E126" i="61"/>
  <c r="E152" i="61"/>
  <c r="E128" i="61"/>
  <c r="E517" i="54"/>
  <c r="E224" i="61"/>
  <c r="E374" i="54"/>
  <c r="E99" i="61"/>
  <c r="E123" i="61"/>
  <c r="E16" i="61"/>
  <c r="E75" i="61"/>
  <c r="E669" i="54"/>
  <c r="E188" i="61"/>
  <c r="E99" i="54"/>
  <c r="E181" i="54"/>
  <c r="E39" i="54"/>
  <c r="E139" i="54"/>
  <c r="E560" i="54"/>
  <c r="E161" i="54"/>
  <c r="E557" i="54"/>
  <c r="E198" i="54"/>
  <c r="E295" i="54"/>
  <c r="E386" i="54"/>
  <c r="E203" i="54"/>
  <c r="E254" i="61"/>
  <c r="E622" i="54"/>
  <c r="E66" i="54"/>
  <c r="E222" i="54"/>
  <c r="E342" i="54"/>
  <c r="E230" i="61"/>
  <c r="E221" i="54"/>
  <c r="E93" i="61"/>
  <c r="E578" i="54"/>
  <c r="E486" i="54"/>
  <c r="E678" i="54"/>
  <c r="E677" i="54"/>
  <c r="E382" i="54"/>
  <c r="E135" i="61"/>
  <c r="E60" i="61"/>
  <c r="E248" i="54"/>
  <c r="E203" i="61"/>
  <c r="E243" i="61"/>
  <c r="E50" i="61"/>
  <c r="E255" i="61"/>
  <c r="E168" i="54"/>
  <c r="E93" i="54"/>
  <c r="E66" i="61"/>
  <c r="E499" i="54"/>
  <c r="E339" i="54"/>
  <c r="E182" i="61"/>
  <c r="E40" i="61"/>
  <c r="E309" i="54"/>
  <c r="E509" i="54"/>
  <c r="E30" i="54"/>
  <c r="E558" i="54"/>
  <c r="E173" i="54"/>
  <c r="E284" i="54"/>
  <c r="E369" i="54"/>
  <c r="E294" i="54"/>
  <c r="E104" i="54"/>
  <c r="E641" i="54"/>
  <c r="E77" i="54"/>
  <c r="E88" i="61"/>
  <c r="E33" i="61"/>
  <c r="E269" i="54"/>
  <c r="E312" i="54"/>
  <c r="E2" i="54"/>
  <c r="E73" i="54"/>
  <c r="E279" i="54"/>
  <c r="E158" i="61"/>
  <c r="E199" i="61"/>
  <c r="E111" i="54"/>
  <c r="E355" i="54"/>
  <c r="E165" i="61"/>
  <c r="E223" i="54"/>
  <c r="E328" i="54"/>
  <c r="E145" i="61"/>
  <c r="E84" i="54"/>
  <c r="E441" i="54"/>
  <c r="E471" i="54"/>
  <c r="E392" i="54"/>
  <c r="E477" i="54"/>
  <c r="E126" i="54"/>
  <c r="E107" i="61"/>
  <c r="E266" i="54"/>
  <c r="E528" i="54"/>
  <c r="E134" i="54"/>
  <c r="E636" i="54"/>
  <c r="E397" i="54"/>
  <c r="E634" i="54"/>
  <c r="E345" i="54"/>
  <c r="E8" i="54"/>
  <c r="E676" i="54"/>
  <c r="E98" i="54"/>
  <c r="E120" i="61"/>
  <c r="E213" i="54"/>
  <c r="E184" i="61"/>
  <c r="E259" i="61"/>
  <c r="E639" i="54"/>
  <c r="E227" i="54"/>
  <c r="E340" i="54"/>
  <c r="E130" i="54"/>
  <c r="E153" i="54"/>
  <c r="E484" i="54"/>
  <c r="E229" i="61"/>
  <c r="E219" i="61"/>
  <c r="E586" i="54"/>
  <c r="E454" i="54"/>
  <c r="E587" i="54"/>
  <c r="E542" i="54"/>
  <c r="E108" i="61"/>
  <c r="E652" i="54"/>
  <c r="E283" i="54"/>
  <c r="E97" i="54"/>
  <c r="E615" i="54"/>
  <c r="E20" i="54"/>
  <c r="E193" i="61"/>
  <c r="E265" i="54"/>
  <c r="E48" i="54"/>
  <c r="E11" i="54"/>
  <c r="E182" i="54"/>
  <c r="E449" i="54"/>
  <c r="E150" i="54"/>
  <c r="E15" i="54"/>
  <c r="E4" i="61"/>
  <c r="E412" i="54"/>
  <c r="E9" i="54"/>
  <c r="E336" i="54"/>
  <c r="E121" i="54"/>
  <c r="E281" i="54"/>
  <c r="E41" i="61"/>
  <c r="E562" i="54"/>
  <c r="E225" i="61"/>
  <c r="E172" i="54"/>
  <c r="E277" i="61"/>
  <c r="E364" i="54"/>
  <c r="E5" i="54"/>
  <c r="E183" i="61"/>
  <c r="E274" i="61"/>
  <c r="E136" i="61"/>
  <c r="E74" i="61"/>
  <c r="E28" i="54"/>
  <c r="E37" i="61"/>
  <c r="E520" i="54"/>
  <c r="E244" i="54"/>
  <c r="E648" i="54"/>
  <c r="E664" i="54"/>
  <c r="E225" i="54"/>
  <c r="E164" i="61"/>
  <c r="E77" i="61"/>
  <c r="E208" i="61"/>
  <c r="E502" i="54"/>
  <c r="E137" i="54"/>
  <c r="E155" i="61"/>
  <c r="E479" i="54"/>
  <c r="E332" i="54"/>
  <c r="E541" i="54"/>
  <c r="E512" i="54"/>
  <c r="E269" i="61"/>
  <c r="E205" i="54"/>
  <c r="E133" i="61"/>
  <c r="E404" i="54"/>
  <c r="E439" i="54"/>
  <c r="E485" i="54"/>
  <c r="E65" i="54"/>
  <c r="E109" i="61"/>
  <c r="E521" i="54"/>
  <c r="E567" i="54"/>
  <c r="E500" i="54"/>
  <c r="E22" i="61"/>
  <c r="E236" i="61"/>
  <c r="E12" i="54"/>
  <c r="E324" i="54"/>
  <c r="E480" i="54"/>
  <c r="E434" i="54"/>
  <c r="E577" i="54"/>
  <c r="E414" i="54"/>
  <c r="E87" i="54"/>
  <c r="E315" i="54"/>
  <c r="E176" i="61"/>
  <c r="E254" i="54"/>
  <c r="E627" i="54"/>
  <c r="E64" i="54"/>
  <c r="E117" i="61"/>
  <c r="E253" i="54"/>
  <c r="E82" i="54"/>
  <c r="E530" i="54"/>
  <c r="E524" i="54"/>
  <c r="E45" i="61"/>
  <c r="E504" i="54"/>
  <c r="E127" i="61"/>
  <c r="E170" i="61"/>
  <c r="E81" i="61"/>
  <c r="E514" i="54"/>
  <c r="E5" i="61"/>
  <c r="E646" i="54"/>
  <c r="E141" i="61"/>
  <c r="E310" i="54"/>
  <c r="E501" i="54"/>
  <c r="E209" i="61"/>
  <c r="E143" i="61"/>
  <c r="E224" i="54"/>
  <c r="E306" i="54"/>
  <c r="E218" i="61"/>
  <c r="E25" i="54"/>
  <c r="E594" i="54"/>
  <c r="E483" i="54"/>
  <c r="E27" i="61"/>
  <c r="E218" i="54"/>
  <c r="E473" i="54"/>
  <c r="E235" i="61"/>
  <c r="E464" i="54"/>
  <c r="E280" i="54"/>
  <c r="E278" i="61"/>
  <c r="E323" i="54"/>
  <c r="E46" i="61"/>
  <c r="E127" i="54"/>
  <c r="E630" i="54"/>
  <c r="E334" i="54"/>
  <c r="E237" i="54"/>
  <c r="E86" i="61"/>
  <c r="E371" i="54"/>
  <c r="E537" i="54"/>
  <c r="E619" i="54"/>
  <c r="E617" i="54"/>
  <c r="E228" i="61"/>
  <c r="E496" i="54"/>
  <c r="E415" i="54"/>
  <c r="E411" i="54"/>
  <c r="E435" i="54"/>
  <c r="E354" i="54"/>
  <c r="E270" i="54"/>
  <c r="E267" i="54"/>
  <c r="E606" i="54"/>
  <c r="E651" i="54"/>
  <c r="E238" i="61"/>
  <c r="E72" i="61"/>
  <c r="E124" i="54"/>
  <c r="E259" i="54"/>
  <c r="E457" i="54"/>
  <c r="E180" i="61"/>
  <c r="E103" i="61"/>
  <c r="E389" i="54"/>
  <c r="E49" i="54"/>
  <c r="E70" i="61"/>
  <c r="E32" i="54"/>
  <c r="E119" i="54"/>
  <c r="E70" i="54"/>
  <c r="E174" i="61"/>
  <c r="E229" i="54"/>
  <c r="E380" i="54"/>
  <c r="E263" i="54"/>
  <c r="E298" i="54"/>
  <c r="E19" i="54"/>
  <c r="E305" i="54"/>
  <c r="E97" i="61"/>
  <c r="E616" i="54"/>
  <c r="E456" i="54"/>
  <c r="E659" i="54"/>
  <c r="E581" i="54"/>
  <c r="E233" i="54"/>
  <c r="E325" i="54"/>
  <c r="E300" i="54"/>
  <c r="E487" i="54"/>
  <c r="E160" i="54"/>
  <c r="E656" i="54"/>
  <c r="E348" i="54"/>
  <c r="E147" i="61"/>
  <c r="E330" i="54"/>
  <c r="E179" i="54"/>
  <c r="E591" i="54"/>
  <c r="E255" i="54"/>
  <c r="E167" i="54"/>
  <c r="E217" i="54"/>
  <c r="E653" i="54"/>
  <c r="E194" i="54"/>
  <c r="E307" i="54"/>
  <c r="E268" i="54"/>
  <c r="E671" i="54"/>
  <c r="E175" i="54"/>
  <c r="E95" i="54"/>
  <c r="E248" i="61"/>
  <c r="E228" i="54"/>
  <c r="E68" i="61"/>
  <c r="E148" i="54"/>
  <c r="E518" i="54"/>
  <c r="E2" i="61"/>
  <c r="E271" i="61"/>
  <c r="E231" i="54"/>
  <c r="E192" i="61"/>
  <c r="E44" i="61"/>
  <c r="E102" i="54"/>
  <c r="E190" i="61"/>
  <c r="E393" i="54"/>
  <c r="E193" i="54"/>
  <c r="E129" i="54"/>
  <c r="E34" i="61"/>
  <c r="E448" i="54"/>
  <c r="E552" i="54"/>
  <c r="E437" i="54"/>
  <c r="E660" i="54"/>
  <c r="E169" i="61"/>
  <c r="E387" i="54"/>
  <c r="E436" i="54"/>
  <c r="E217" i="61"/>
  <c r="E409" i="54"/>
  <c r="E92" i="54"/>
  <c r="E674" i="54"/>
  <c r="E603" i="54"/>
  <c r="E120" i="54"/>
  <c r="E216" i="54"/>
  <c r="E10" i="61"/>
  <c r="E589" i="54"/>
  <c r="E378" i="54"/>
  <c r="E550" i="54"/>
  <c r="E242" i="61"/>
  <c r="E608" i="54"/>
  <c r="E33" i="54"/>
  <c r="E146" i="54"/>
  <c r="E80" i="61"/>
  <c r="E147" i="54"/>
  <c r="E67" i="54"/>
  <c r="E38" i="61"/>
  <c r="E143" i="54"/>
  <c r="E620" i="54"/>
  <c r="E69" i="54"/>
  <c r="E207" i="61"/>
  <c r="E645" i="54"/>
  <c r="E214" i="54"/>
  <c r="E268" i="61"/>
  <c r="E271" i="54"/>
  <c r="E215" i="61"/>
  <c r="E335" i="54"/>
  <c r="E207" i="54"/>
  <c r="E403" i="54"/>
  <c r="E375" i="54"/>
  <c r="E55" i="61"/>
  <c r="E525" i="54"/>
  <c r="D2" i="55"/>
  <c r="E383" i="54"/>
  <c r="E596" i="54"/>
  <c r="E401" i="54"/>
  <c r="E444" i="54"/>
  <c r="E472" i="54"/>
  <c r="E563" i="54"/>
  <c r="E195" i="54"/>
  <c r="E191" i="54"/>
  <c r="E346" i="54"/>
  <c r="E494" i="54"/>
  <c r="E584" i="54"/>
  <c r="E395" i="54"/>
  <c r="E189" i="54"/>
  <c r="E113" i="61"/>
  <c r="E223" i="61"/>
  <c r="E15" i="61"/>
  <c r="E626" i="54"/>
  <c r="E132" i="54"/>
  <c r="E78" i="61"/>
  <c r="E142" i="54"/>
  <c r="E672" i="54"/>
  <c r="E649" i="54"/>
  <c r="E29" i="61"/>
  <c r="E258" i="61"/>
  <c r="E303" i="54"/>
  <c r="I23" i="4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<sst xmlns="http://schemas.openxmlformats.org/spreadsheetml/2006/main" count="5240" uniqueCount="4347">
  <si>
    <t>Johnas</t>
  </si>
  <si>
    <t>Mike</t>
  </si>
  <si>
    <t>Andrew</t>
  </si>
  <si>
    <t>Gordon</t>
  </si>
  <si>
    <t>Maynard</t>
  </si>
  <si>
    <t>Philippe</t>
  </si>
  <si>
    <t>Felipe</t>
  </si>
  <si>
    <t>Manny</t>
  </si>
  <si>
    <t>Francis</t>
  </si>
  <si>
    <t>Damon</t>
  </si>
  <si>
    <t>Bill</t>
  </si>
  <si>
    <t>Dick</t>
  </si>
  <si>
    <t>Graham</t>
  </si>
  <si>
    <t>Monroe</t>
  </si>
  <si>
    <t>Eric</t>
  </si>
  <si>
    <t>George</t>
  </si>
  <si>
    <t>Giorgio</t>
  </si>
  <si>
    <t>Jorge</t>
  </si>
  <si>
    <t>Ramsey</t>
  </si>
  <si>
    <t>Clark</t>
  </si>
  <si>
    <t>Donald</t>
  </si>
  <si>
    <t>Manuel</t>
  </si>
  <si>
    <t>Maxim</t>
  </si>
  <si>
    <t>Gus</t>
  </si>
  <si>
    <t>Oliver</t>
  </si>
  <si>
    <t>Stan</t>
  </si>
  <si>
    <t>Stanley</t>
  </si>
  <si>
    <t>Stephen</t>
  </si>
  <si>
    <t>Brian</t>
  </si>
  <si>
    <t>Xavier</t>
  </si>
  <si>
    <t>Daniel</t>
  </si>
  <si>
    <t>Maurice</t>
  </si>
  <si>
    <t>Orfeo</t>
  </si>
  <si>
    <t>Justin</t>
  </si>
  <si>
    <t>Rayan</t>
  </si>
  <si>
    <t>Richard</t>
  </si>
  <si>
    <t>Basil</t>
  </si>
  <si>
    <t>Cleanthe</t>
  </si>
  <si>
    <t>Aristide</t>
  </si>
  <si>
    <t>Nat</t>
  </si>
  <si>
    <t>Nate</t>
  </si>
  <si>
    <t>Nathaniel</t>
  </si>
  <si>
    <t>David</t>
  </si>
  <si>
    <t>Morgan</t>
  </si>
  <si>
    <t>Everett</t>
  </si>
  <si>
    <t>Lee</t>
  </si>
  <si>
    <t>Laurent</t>
  </si>
  <si>
    <t>Raul</t>
  </si>
  <si>
    <t>Benjamin</t>
  </si>
  <si>
    <t>Douglas</t>
  </si>
  <si>
    <t>Thomas</t>
  </si>
  <si>
    <t>Abe</t>
  </si>
  <si>
    <t>Wayne</t>
  </si>
  <si>
    <t>Gene</t>
  </si>
  <si>
    <t>Dash</t>
  </si>
  <si>
    <t>Bernie</t>
  </si>
  <si>
    <t>Ridley</t>
  </si>
  <si>
    <t>Frank</t>
  </si>
  <si>
    <t>Paul</t>
  </si>
  <si>
    <t>Peter</t>
  </si>
  <si>
    <t>Gino</t>
  </si>
  <si>
    <t>Angelo</t>
  </si>
  <si>
    <t>Theodore</t>
  </si>
  <si>
    <t>Philemon</t>
  </si>
  <si>
    <t>Zbig</t>
  </si>
  <si>
    <t>Zenon</t>
  </si>
  <si>
    <t>Christian</t>
  </si>
  <si>
    <t>Mallory</t>
  </si>
  <si>
    <t>Dashiel</t>
  </si>
  <si>
    <t>Moses</t>
  </si>
  <si>
    <t>James</t>
  </si>
  <si>
    <t>Achilles</t>
  </si>
  <si>
    <t>Filobedo</t>
  </si>
  <si>
    <t>Clarence</t>
  </si>
  <si>
    <t>Clemence</t>
  </si>
  <si>
    <t>Palmer</t>
  </si>
  <si>
    <t>Peo</t>
  </si>
  <si>
    <t>Tom</t>
  </si>
  <si>
    <t>Timothy</t>
  </si>
  <si>
    <t>Rick</t>
  </si>
  <si>
    <t>Martin</t>
  </si>
  <si>
    <t>Allen</t>
  </si>
  <si>
    <t>Kenneth</t>
  </si>
  <si>
    <t>Anthony</t>
  </si>
  <si>
    <t>Kurt</t>
  </si>
  <si>
    <t>Gerard</t>
  </si>
  <si>
    <t>Julian</t>
  </si>
  <si>
    <t>Greg</t>
  </si>
  <si>
    <t>Chris</t>
  </si>
  <si>
    <t>Nick</t>
  </si>
  <si>
    <t>Ivan</t>
  </si>
  <si>
    <t>Igor</t>
  </si>
  <si>
    <t>Bob</t>
  </si>
  <si>
    <t>Roberto</t>
  </si>
  <si>
    <t>Ron</t>
  </si>
  <si>
    <t>Ronaldo</t>
  </si>
  <si>
    <t>Jarvis</t>
  </si>
  <si>
    <t>Mel</t>
  </si>
  <si>
    <t>Jaimito</t>
  </si>
  <si>
    <t>Marle</t>
  </si>
  <si>
    <t>Sebastian</t>
  </si>
  <si>
    <t>Jeremy</t>
  </si>
  <si>
    <t>William</t>
  </si>
  <si>
    <t>Louis</t>
  </si>
  <si>
    <t>Adrian</t>
  </si>
  <si>
    <t>Ben</t>
  </si>
  <si>
    <t>Chandler</t>
  </si>
  <si>
    <t>Goran</t>
  </si>
  <si>
    <t>Norman</t>
  </si>
  <si>
    <t>Ramon</t>
  </si>
  <si>
    <t>Gerry</t>
  </si>
  <si>
    <t>Jerry</t>
  </si>
  <si>
    <t>Bernard</t>
  </si>
  <si>
    <t>Serge</t>
  </si>
  <si>
    <t>Kirk</t>
  </si>
  <si>
    <t>Tony</t>
  </si>
  <si>
    <t>Burt</t>
  </si>
  <si>
    <t>Artie</t>
  </si>
  <si>
    <t>Neil</t>
  </si>
  <si>
    <t>Aaron</t>
  </si>
  <si>
    <t>Henry</t>
  </si>
  <si>
    <t>Erol</t>
  </si>
  <si>
    <t>Claude</t>
  </si>
  <si>
    <t>Pepito</t>
  </si>
  <si>
    <t>Pedro</t>
  </si>
  <si>
    <t>Isaak</t>
  </si>
  <si>
    <t>Arnie</t>
  </si>
  <si>
    <t>Bruce</t>
  </si>
  <si>
    <t>Gilbert</t>
  </si>
  <si>
    <t>Harry</t>
  </si>
  <si>
    <t>Reiner</t>
  </si>
  <si>
    <t>Charles</t>
  </si>
  <si>
    <t>Chuck</t>
  </si>
  <si>
    <t>Alan</t>
  </si>
  <si>
    <t>Dale</t>
  </si>
  <si>
    <t>Chip</t>
  </si>
  <si>
    <t>Arnold</t>
  </si>
  <si>
    <t>Patrick</t>
  </si>
  <si>
    <t>Dwayne</t>
  </si>
  <si>
    <t>Ray</t>
  </si>
  <si>
    <t>Edward</t>
  </si>
  <si>
    <t>Eddie</t>
  </si>
  <si>
    <t>Tino</t>
  </si>
  <si>
    <t>Simon</t>
  </si>
  <si>
    <t>Barry</t>
  </si>
  <si>
    <t>Ezra</t>
  </si>
  <si>
    <t>Mark</t>
  </si>
  <si>
    <t>Hans</t>
  </si>
  <si>
    <t>Derek</t>
  </si>
  <si>
    <t>Egon</t>
  </si>
  <si>
    <t>Dean</t>
  </si>
  <si>
    <t>Friedrich</t>
  </si>
  <si>
    <t>Ludwig</t>
  </si>
  <si>
    <t>Earnest</t>
  </si>
  <si>
    <t>Max</t>
  </si>
  <si>
    <t>Gustaf</t>
  </si>
  <si>
    <t>Gustave</t>
  </si>
  <si>
    <t>Edvard</t>
  </si>
  <si>
    <t>Benoit</t>
  </si>
  <si>
    <t>Ilya</t>
  </si>
  <si>
    <t>Aydan</t>
  </si>
  <si>
    <t>Ceanu</t>
  </si>
  <si>
    <t>Ralf</t>
  </si>
  <si>
    <t>Marcel</t>
  </si>
  <si>
    <t>Valery</t>
  </si>
  <si>
    <t>Fidelio</t>
  </si>
  <si>
    <t>Frederic</t>
  </si>
  <si>
    <t>Fred</t>
  </si>
  <si>
    <t>Hector</t>
  </si>
  <si>
    <t>Ector</t>
  </si>
  <si>
    <t>Miles</t>
  </si>
  <si>
    <t>Tim</t>
  </si>
  <si>
    <t>Robert</t>
  </si>
  <si>
    <t>Rheinhardt</t>
  </si>
  <si>
    <t>Bernt</t>
  </si>
  <si>
    <t>Kareem</t>
  </si>
  <si>
    <t>Rudolf</t>
  </si>
  <si>
    <t>Rufus</t>
  </si>
  <si>
    <t>Abdullah</t>
  </si>
  <si>
    <t>Ari</t>
  </si>
  <si>
    <t>Ira</t>
  </si>
  <si>
    <t>Trevor</t>
  </si>
  <si>
    <t>Omar</t>
  </si>
  <si>
    <t>Leonard</t>
  </si>
  <si>
    <t>Leo</t>
  </si>
  <si>
    <t>Zbignew</t>
  </si>
  <si>
    <t>Vzevolod</t>
  </si>
  <si>
    <t>Leopold</t>
  </si>
  <si>
    <t>Istvan</t>
  </si>
  <si>
    <t>Pavel</t>
  </si>
  <si>
    <t>Miclos</t>
  </si>
  <si>
    <t>Benito</t>
  </si>
  <si>
    <t>Ianis</t>
  </si>
  <si>
    <t>Archie</t>
  </si>
  <si>
    <t>Archibald</t>
  </si>
  <si>
    <t>Lester</t>
  </si>
  <si>
    <t>Dennis</t>
  </si>
  <si>
    <t>Lasse</t>
  </si>
  <si>
    <t>Ulaf</t>
  </si>
  <si>
    <t>Bennie</t>
  </si>
  <si>
    <t>Benedict</t>
  </si>
  <si>
    <t>Franz</t>
  </si>
  <si>
    <t>Raymond</t>
  </si>
  <si>
    <t>Lucien</t>
  </si>
  <si>
    <t>Chico</t>
  </si>
  <si>
    <t>Heron</t>
  </si>
  <si>
    <t>Leander</t>
  </si>
  <si>
    <t>Menander</t>
  </si>
  <si>
    <t>Leigh</t>
  </si>
  <si>
    <t>Sylvester</t>
  </si>
  <si>
    <t>Devlin</t>
  </si>
  <si>
    <t>Ferdinand</t>
  </si>
  <si>
    <t>Ralph</t>
  </si>
  <si>
    <t>Placido</t>
  </si>
  <si>
    <t>Paco</t>
  </si>
  <si>
    <t>Percival</t>
  </si>
  <si>
    <t>Lancelot</t>
  </si>
  <si>
    <t>Eli</t>
  </si>
  <si>
    <t>Eliah</t>
  </si>
  <si>
    <t>Elias</t>
  </si>
  <si>
    <t>Tobias</t>
  </si>
  <si>
    <t>Amos</t>
  </si>
  <si>
    <t>Jonas</t>
  </si>
  <si>
    <t>Jason</t>
  </si>
  <si>
    <t>Jonathan</t>
  </si>
  <si>
    <t>Jon</t>
  </si>
  <si>
    <t>Jo</t>
  </si>
  <si>
    <t>Joe</t>
  </si>
  <si>
    <t>Dwight</t>
  </si>
  <si>
    <t>Curtis</t>
  </si>
  <si>
    <t>Ryan</t>
  </si>
  <si>
    <t>Gianni</t>
  </si>
  <si>
    <t>Lance</t>
  </si>
  <si>
    <t>Gary</t>
  </si>
  <si>
    <t>Gerahardt</t>
  </si>
  <si>
    <t>Kyle</t>
  </si>
  <si>
    <t>Pafnuti</t>
  </si>
  <si>
    <t>Neal</t>
  </si>
  <si>
    <t>Bjorn</t>
  </si>
  <si>
    <t>Rory</t>
  </si>
  <si>
    <t>Malachai</t>
  </si>
  <si>
    <t>Phil</t>
  </si>
  <si>
    <t>Pepe</t>
  </si>
  <si>
    <t>Abramson</t>
  </si>
  <si>
    <t>Adams</t>
  </si>
  <si>
    <t>Aho</t>
  </si>
  <si>
    <t>Akyurek</t>
  </si>
  <si>
    <t>Anderson</t>
  </si>
  <si>
    <t>Baldwin</t>
  </si>
  <si>
    <t>Barnes</t>
  </si>
  <si>
    <t>Batiste</t>
  </si>
  <si>
    <t>Beaton</t>
  </si>
  <si>
    <t>Bellinson</t>
  </si>
  <si>
    <t>Bernici</t>
  </si>
  <si>
    <t>Billings</t>
  </si>
  <si>
    <t>Binders</t>
  </si>
  <si>
    <t>Bohrs</t>
  </si>
  <si>
    <t>Bourne</t>
  </si>
  <si>
    <t>Brighton</t>
  </si>
  <si>
    <t>Brock</t>
  </si>
  <si>
    <t>Brown</t>
  </si>
  <si>
    <t>Burgess</t>
  </si>
  <si>
    <t>Burke</t>
  </si>
  <si>
    <t>Burnes</t>
  </si>
  <si>
    <t>Castrup</t>
  </si>
  <si>
    <t>Caynes</t>
  </si>
  <si>
    <t>Charanis</t>
  </si>
  <si>
    <t>Chiltern</t>
  </si>
  <si>
    <t>Clancy</t>
  </si>
  <si>
    <t>Clayton</t>
  </si>
  <si>
    <t>Cohen</t>
  </si>
  <si>
    <t>Cole</t>
  </si>
  <si>
    <t>Coreolano</t>
  </si>
  <si>
    <t>Croft</t>
  </si>
  <si>
    <t>Da Voglio</t>
  </si>
  <si>
    <t>Dawson</t>
  </si>
  <si>
    <t>De Agostini</t>
  </si>
  <si>
    <t>De Chirico</t>
  </si>
  <si>
    <t>De Nuncio</t>
  </si>
  <si>
    <t>Doe</t>
  </si>
  <si>
    <t>Duncan</t>
  </si>
  <si>
    <t>Edmonson</t>
  </si>
  <si>
    <t>Eldridge</t>
  </si>
  <si>
    <t>Emerice</t>
  </si>
  <si>
    <t>Emerson</t>
  </si>
  <si>
    <t>Ewing</t>
  </si>
  <si>
    <t>Falk</t>
  </si>
  <si>
    <t>Freeman</t>
  </si>
  <si>
    <t>Galilei</t>
  </si>
  <si>
    <t>Gardner</t>
  </si>
  <si>
    <t>Glitsky</t>
  </si>
  <si>
    <t>Gold</t>
  </si>
  <si>
    <t>Grant</t>
  </si>
  <si>
    <t>Green</t>
  </si>
  <si>
    <t>Hardy</t>
  </si>
  <si>
    <t>Hayworth</t>
  </si>
  <si>
    <t>Heidegger</t>
  </si>
  <si>
    <t>Henning</t>
  </si>
  <si>
    <t>Hodge</t>
  </si>
  <si>
    <t>Hopcroft</t>
  </si>
  <si>
    <t>Hopkins</t>
  </si>
  <si>
    <t>Incontro</t>
  </si>
  <si>
    <t>Jackman</t>
  </si>
  <si>
    <t>Jackson</t>
  </si>
  <si>
    <t>Jonason</t>
  </si>
  <si>
    <t>Kent</t>
  </si>
  <si>
    <t>Kernos</t>
  </si>
  <si>
    <t>Kollias</t>
  </si>
  <si>
    <t>Kozak</t>
  </si>
  <si>
    <t>Kruyf</t>
  </si>
  <si>
    <t>Laurel</t>
  </si>
  <si>
    <t>Malone</t>
  </si>
  <si>
    <t>Manakis</t>
  </si>
  <si>
    <t>Mancini</t>
  </si>
  <si>
    <t>Marturano</t>
  </si>
  <si>
    <t>Mathers</t>
  </si>
  <si>
    <t>Maulder</t>
  </si>
  <si>
    <t>Mc Dougal</t>
  </si>
  <si>
    <t>McGuyver</t>
  </si>
  <si>
    <t>Mcneil</t>
  </si>
  <si>
    <t>Mellon</t>
  </si>
  <si>
    <t>Merel</t>
  </si>
  <si>
    <t>Mestri</t>
  </si>
  <si>
    <t>Michaels</t>
  </si>
  <si>
    <t>Milic</t>
  </si>
  <si>
    <t>Miller</t>
  </si>
  <si>
    <t>Minford</t>
  </si>
  <si>
    <t>Monet</t>
  </si>
  <si>
    <t>Montague</t>
  </si>
  <si>
    <t>Montalban</t>
  </si>
  <si>
    <t>Morris</t>
  </si>
  <si>
    <t>Mullington</t>
  </si>
  <si>
    <t>Newton</t>
  </si>
  <si>
    <t>O'  Connor</t>
  </si>
  <si>
    <t>O' Neal</t>
  </si>
  <si>
    <t>Ogilvy</t>
  </si>
  <si>
    <t>Orioli</t>
  </si>
  <si>
    <t>Papas</t>
  </si>
  <si>
    <t>Parris</t>
  </si>
  <si>
    <t>Paulano</t>
  </si>
  <si>
    <t>Burroughs</t>
  </si>
  <si>
    <t>Drummond</t>
  </si>
  <si>
    <t>Otto</t>
  </si>
  <si>
    <t>Riggs</t>
  </si>
  <si>
    <t>Ingle</t>
  </si>
  <si>
    <t>Gibbs</t>
  </si>
  <si>
    <t>Owen</t>
  </si>
  <si>
    <t>Youngblood</t>
  </si>
  <si>
    <t>Woodward</t>
  </si>
  <si>
    <t>Belanger</t>
  </si>
  <si>
    <t>Elder</t>
  </si>
  <si>
    <t>Hearst</t>
  </si>
  <si>
    <t>Hurst</t>
  </si>
  <si>
    <t>Medina</t>
  </si>
  <si>
    <t>Larson</t>
  </si>
  <si>
    <t>Ericson</t>
  </si>
  <si>
    <t>Bridges</t>
  </si>
  <si>
    <t>Coates</t>
  </si>
  <si>
    <t>Duvall</t>
  </si>
  <si>
    <t>Sinclair</t>
  </si>
  <si>
    <t>Simone</t>
  </si>
  <si>
    <t>Silvers</t>
  </si>
  <si>
    <t>Rochelle</t>
  </si>
  <si>
    <t>Hunter</t>
  </si>
  <si>
    <t>Kimsey</t>
  </si>
  <si>
    <t>Carpenter</t>
  </si>
  <si>
    <t>Mason</t>
  </si>
  <si>
    <t>Fischer</t>
  </si>
  <si>
    <t>Demore</t>
  </si>
  <si>
    <t>Garner</t>
  </si>
  <si>
    <t>Currey</t>
  </si>
  <si>
    <t>Grand</t>
  </si>
  <si>
    <t>Marschall</t>
  </si>
  <si>
    <t>Machiels</t>
  </si>
  <si>
    <t>Spears</t>
  </si>
  <si>
    <t>Shields</t>
  </si>
  <si>
    <t>Eckstein</t>
  </si>
  <si>
    <t>Callahan</t>
  </si>
  <si>
    <t>Dutch</t>
  </si>
  <si>
    <t>Stone</t>
  </si>
  <si>
    <t>Quintana</t>
  </si>
  <si>
    <t>Landrieu</t>
  </si>
  <si>
    <t>Willard</t>
  </si>
  <si>
    <t>Popper</t>
  </si>
  <si>
    <t>Wittgenstein</t>
  </si>
  <si>
    <t>Locke</t>
  </si>
  <si>
    <t>DesCartes</t>
  </si>
  <si>
    <t>Greenspan</t>
  </si>
  <si>
    <t>Halliburton</t>
  </si>
  <si>
    <t>Berry</t>
  </si>
  <si>
    <t>Bloomberg</t>
  </si>
  <si>
    <t>Chippendale</t>
  </si>
  <si>
    <t>Montana</t>
  </si>
  <si>
    <t>Lockheed</t>
  </si>
  <si>
    <t>Chase</t>
  </si>
  <si>
    <t>Welsh</t>
  </si>
  <si>
    <t>Skilling</t>
  </si>
  <si>
    <t>Scully</t>
  </si>
  <si>
    <t>Pauley</t>
  </si>
  <si>
    <t>Kishel</t>
  </si>
  <si>
    <t>Holland</t>
  </si>
  <si>
    <t>Caprioli</t>
  </si>
  <si>
    <t>Corioli</t>
  </si>
  <si>
    <t>Fermi</t>
  </si>
  <si>
    <t>Dirac</t>
  </si>
  <si>
    <t>Gillet</t>
  </si>
  <si>
    <t>Guillet</t>
  </si>
  <si>
    <t>Keller</t>
  </si>
  <si>
    <t>Boyle</t>
  </si>
  <si>
    <t>Bernulli</t>
  </si>
  <si>
    <t>Dijkstra</t>
  </si>
  <si>
    <t>Stewart</t>
  </si>
  <si>
    <t>Sloan</t>
  </si>
  <si>
    <t>Kettering</t>
  </si>
  <si>
    <t>Bergman</t>
  </si>
  <si>
    <t>Berger</t>
  </si>
  <si>
    <t>Warhall</t>
  </si>
  <si>
    <t>Townsend</t>
  </si>
  <si>
    <t>Sawyer</t>
  </si>
  <si>
    <t>Rolling</t>
  </si>
  <si>
    <t>Beeson</t>
  </si>
  <si>
    <t>Dilbert</t>
  </si>
  <si>
    <t>Feely</t>
  </si>
  <si>
    <t>Mammet</t>
  </si>
  <si>
    <t>Forrester</t>
  </si>
  <si>
    <t>Pence</t>
  </si>
  <si>
    <t>Wakowski</t>
  </si>
  <si>
    <t>Hawking</t>
  </si>
  <si>
    <t>Hawkins</t>
  </si>
  <si>
    <t>Dawkins</t>
  </si>
  <si>
    <t>Cleveland</t>
  </si>
  <si>
    <t>Jefferson</t>
  </si>
  <si>
    <t>Washington</t>
  </si>
  <si>
    <t>Wilson</t>
  </si>
  <si>
    <t>Winslow</t>
  </si>
  <si>
    <t>Hamilton</t>
  </si>
  <si>
    <t>DeWine</t>
  </si>
  <si>
    <t>Tennet</t>
  </si>
  <si>
    <t>Caskill</t>
  </si>
  <si>
    <t>Wilford</t>
  </si>
  <si>
    <t>Witherspoon</t>
  </si>
  <si>
    <t>Pyne</t>
  </si>
  <si>
    <t>Lockhart</t>
  </si>
  <si>
    <t>Emerald</t>
  </si>
  <si>
    <t>Gallagher</t>
  </si>
  <si>
    <t>Kingsley</t>
  </si>
  <si>
    <t>Keats</t>
  </si>
  <si>
    <t>Yates</t>
  </si>
  <si>
    <t>Pound</t>
  </si>
  <si>
    <t>Bukovski</t>
  </si>
  <si>
    <t>Kowalski</t>
  </si>
  <si>
    <t>Payne</t>
  </si>
  <si>
    <t>Payton</t>
  </si>
  <si>
    <t>Elmsford</t>
  </si>
  <si>
    <t>Hepburn</t>
  </si>
  <si>
    <t>Eastman</t>
  </si>
  <si>
    <t>Shuttleworth</t>
  </si>
  <si>
    <t>Longworth</t>
  </si>
  <si>
    <t>Banach</t>
  </si>
  <si>
    <t>Hales</t>
  </si>
  <si>
    <t>Signori</t>
  </si>
  <si>
    <t>Webb</t>
  </si>
  <si>
    <t>Huygens</t>
  </si>
  <si>
    <t>Hubble</t>
  </si>
  <si>
    <t>Marceau</t>
  </si>
  <si>
    <t>Hahnemann</t>
  </si>
  <si>
    <t>Barket</t>
  </si>
  <si>
    <t>Lane</t>
  </si>
  <si>
    <t>Darkwood</t>
  </si>
  <si>
    <t>Carter</t>
  </si>
  <si>
    <t>Coe</t>
  </si>
  <si>
    <t>Pearce</t>
  </si>
  <si>
    <t>Pearson</t>
  </si>
  <si>
    <t>Perkins</t>
  </si>
  <si>
    <t>Peterson</t>
  </si>
  <si>
    <t>Phillips</t>
  </si>
  <si>
    <t>Pratt</t>
  </si>
  <si>
    <t>Rand</t>
  </si>
  <si>
    <t>Randall</t>
  </si>
  <si>
    <t>Rigby</t>
  </si>
  <si>
    <t>Rodin</t>
  </si>
  <si>
    <t>Rossi</t>
  </si>
  <si>
    <t>Rossini</t>
  </si>
  <si>
    <t>Rush</t>
  </si>
  <si>
    <t>Rutherford</t>
  </si>
  <si>
    <t>Scott</t>
  </si>
  <si>
    <t>Sforza</t>
  </si>
  <si>
    <t>Simmons</t>
  </si>
  <si>
    <t>Sjoblom</t>
  </si>
  <si>
    <t>Meier</t>
  </si>
  <si>
    <t>Stotlmeier</t>
  </si>
  <si>
    <t>Compton</t>
  </si>
  <si>
    <t>Stephens</t>
  </si>
  <si>
    <t>Foreman</t>
  </si>
  <si>
    <t>Fornett</t>
  </si>
  <si>
    <t>Higgins</t>
  </si>
  <si>
    <t>Swartz</t>
  </si>
  <si>
    <t>Schroeder</t>
  </si>
  <si>
    <t>Ricardo</t>
  </si>
  <si>
    <t>Robins</t>
  </si>
  <si>
    <t>Rubens</t>
  </si>
  <si>
    <t>Ayre</t>
  </si>
  <si>
    <t>Figueroa</t>
  </si>
  <si>
    <t>Farris</t>
  </si>
  <si>
    <t>Bunkers</t>
  </si>
  <si>
    <t>Banks</t>
  </si>
  <si>
    <t>Evangelista</t>
  </si>
  <si>
    <t>Heins</t>
  </si>
  <si>
    <t>Alberti</t>
  </si>
  <si>
    <t>Como</t>
  </si>
  <si>
    <t>Lake</t>
  </si>
  <si>
    <t>Lloyd</t>
  </si>
  <si>
    <t>Mulholland</t>
  </si>
  <si>
    <t>Mullihan</t>
  </si>
  <si>
    <t>Mulligan</t>
  </si>
  <si>
    <t>Fitzpatrick</t>
  </si>
  <si>
    <t>Fitzgerald</t>
  </si>
  <si>
    <t>Carmichael</t>
  </si>
  <si>
    <t>Oaklie</t>
  </si>
  <si>
    <t>Jarmush</t>
  </si>
  <si>
    <t>Smith</t>
  </si>
  <si>
    <t>Spader</t>
  </si>
  <si>
    <t>Spades</t>
  </si>
  <si>
    <t>Spencer</t>
  </si>
  <si>
    <t>Spertos</t>
  </si>
  <si>
    <t>Spielberg</t>
  </si>
  <si>
    <t>McBeal</t>
  </si>
  <si>
    <t>Flynn</t>
  </si>
  <si>
    <t>Jilcrhist</t>
  </si>
  <si>
    <t>Zeke</t>
  </si>
  <si>
    <t>Zachary</t>
  </si>
  <si>
    <t>Webster</t>
  </si>
  <si>
    <t>Collins</t>
  </si>
  <si>
    <t>Auldrin</t>
  </si>
  <si>
    <t>Armstrong</t>
  </si>
  <si>
    <t>Spock</t>
  </si>
  <si>
    <t>Durban</t>
  </si>
  <si>
    <t>Durham</t>
  </si>
  <si>
    <t>Ciros</t>
  </si>
  <si>
    <t>Cebalos</t>
  </si>
  <si>
    <t>Dobbs</t>
  </si>
  <si>
    <t>Chisum</t>
  </si>
  <si>
    <t>Bitchum</t>
  </si>
  <si>
    <t>McAlister</t>
  </si>
  <si>
    <t>Maguire</t>
  </si>
  <si>
    <t>Upton</t>
  </si>
  <si>
    <t>Templeton</t>
  </si>
  <si>
    <t>Benett</t>
  </si>
  <si>
    <t>Beneton</t>
  </si>
  <si>
    <t>Stein</t>
  </si>
  <si>
    <t>Stevens</t>
  </si>
  <si>
    <t>Stieglitz</t>
  </si>
  <si>
    <t>Stockton</t>
  </si>
  <si>
    <t>Straut</t>
  </si>
  <si>
    <t>Stroustrup</t>
  </si>
  <si>
    <t>Sutherland</t>
  </si>
  <si>
    <t>Tomlinson</t>
  </si>
  <si>
    <t>Ullman</t>
  </si>
  <si>
    <t>Umlas</t>
  </si>
  <si>
    <t>Versace</t>
  </si>
  <si>
    <t>Von Neumann</t>
  </si>
  <si>
    <t>Wager</t>
  </si>
  <si>
    <t>Wainwright</t>
  </si>
  <si>
    <t>Walls</t>
  </si>
  <si>
    <t>West</t>
  </si>
  <si>
    <t>Wilkins</t>
  </si>
  <si>
    <t>Willis</t>
  </si>
  <si>
    <t>Wisser</t>
  </si>
  <si>
    <t>Worthy</t>
  </si>
  <si>
    <t>Fairweather</t>
  </si>
  <si>
    <t>Ames</t>
  </si>
  <si>
    <t>McCullough</t>
  </si>
  <si>
    <t>Jaffe</t>
  </si>
  <si>
    <t>Reed</t>
  </si>
  <si>
    <t>Ross</t>
  </si>
  <si>
    <t>Cummings</t>
  </si>
  <si>
    <t>Geller</t>
  </si>
  <si>
    <t>Briggs</t>
  </si>
  <si>
    <t>Alvares</t>
  </si>
  <si>
    <t>Bernier</t>
  </si>
  <si>
    <t>Werner</t>
  </si>
  <si>
    <t>Shilton</t>
  </si>
  <si>
    <t>Chilton</t>
  </si>
  <si>
    <t>Rousseau</t>
  </si>
  <si>
    <t>Thoreau</t>
  </si>
  <si>
    <t>Wilcock</t>
  </si>
  <si>
    <t>Peacock</t>
  </si>
  <si>
    <t>Clarke</t>
  </si>
  <si>
    <t>Gigerenzer</t>
  </si>
  <si>
    <t>Choate</t>
  </si>
  <si>
    <t>Poe</t>
  </si>
  <si>
    <t>Honeywell</t>
  </si>
  <si>
    <t>Schultz</t>
  </si>
  <si>
    <t>Riemann</t>
  </si>
  <si>
    <t>Fukuoka</t>
  </si>
  <si>
    <t>Frey</t>
  </si>
  <si>
    <t>White</t>
  </si>
  <si>
    <t>Marymount</t>
  </si>
  <si>
    <t>Mitchel</t>
  </si>
  <si>
    <t>Cauchy</t>
  </si>
  <si>
    <t>Schwartz</t>
  </si>
  <si>
    <t>Hart</t>
  </si>
  <si>
    <t>Bloom</t>
  </si>
  <si>
    <t>Bloomingdale</t>
  </si>
  <si>
    <t>Sachs</t>
  </si>
  <si>
    <t>Goldman</t>
  </si>
  <si>
    <t>Salomon</t>
  </si>
  <si>
    <t>Shapiro</t>
  </si>
  <si>
    <t>Messi</t>
  </si>
  <si>
    <t>Oppenheim</t>
  </si>
  <si>
    <t>Oppenheimer</t>
  </si>
  <si>
    <t>Gertheim</t>
  </si>
  <si>
    <t>Houston</t>
  </si>
  <si>
    <t>Fassbinder</t>
  </si>
  <si>
    <t>Cubrik</t>
  </si>
  <si>
    <t>Gallo</t>
  </si>
  <si>
    <t>McCormick</t>
  </si>
  <si>
    <t>Hollander</t>
  </si>
  <si>
    <t>Wolf</t>
  </si>
  <si>
    <t>Wolfe</t>
  </si>
  <si>
    <t>Wolfgang</t>
  </si>
  <si>
    <t>Hofstadter</t>
  </si>
  <si>
    <t>Rubic</t>
  </si>
  <si>
    <t>Gardener</t>
  </si>
  <si>
    <t>Drexler</t>
  </si>
  <si>
    <t>Drexel</t>
  </si>
  <si>
    <t>Donahue</t>
  </si>
  <si>
    <t>Donovan</t>
  </si>
  <si>
    <t>Belushi</t>
  </si>
  <si>
    <t>Belucci</t>
  </si>
  <si>
    <t>Irons</t>
  </si>
  <si>
    <t>Ernst</t>
  </si>
  <si>
    <t>Klimt</t>
  </si>
  <si>
    <t>Hapsburg</t>
  </si>
  <si>
    <t>Kronenburg</t>
  </si>
  <si>
    <t>Matisse</t>
  </si>
  <si>
    <t>Picasso</t>
  </si>
  <si>
    <t>Rembrandt</t>
  </si>
  <si>
    <t>Munch</t>
  </si>
  <si>
    <t>Mandelbrot</t>
  </si>
  <si>
    <t>Prigogine</t>
  </si>
  <si>
    <t>Misrah</t>
  </si>
  <si>
    <t>Misirlis</t>
  </si>
  <si>
    <t>Milindria</t>
  </si>
  <si>
    <t>Quinn</t>
  </si>
  <si>
    <t>Reeves</t>
  </si>
  <si>
    <t>Raver</t>
  </si>
  <si>
    <t>Nader</t>
  </si>
  <si>
    <t>McCartney</t>
  </si>
  <si>
    <t>Harrison</t>
  </si>
  <si>
    <t>Ford</t>
  </si>
  <si>
    <t>Porsche</t>
  </si>
  <si>
    <t>Opel</t>
  </si>
  <si>
    <t>Vauxhall</t>
  </si>
  <si>
    <t>Cheltenham</t>
  </si>
  <si>
    <t>Wales</t>
  </si>
  <si>
    <t>Rosenkrantz</t>
  </si>
  <si>
    <t>Guilderstern</t>
  </si>
  <si>
    <t>Proust</t>
  </si>
  <si>
    <t>Bovary</t>
  </si>
  <si>
    <t>Standhal</t>
  </si>
  <si>
    <t>Churchill</t>
  </si>
  <si>
    <t>Templar</t>
  </si>
  <si>
    <t>Raab</t>
  </si>
  <si>
    <t>Robbins</t>
  </si>
  <si>
    <t>Roydon</t>
  </si>
  <si>
    <t>Carver</t>
  </si>
  <si>
    <t>Scarver</t>
  </si>
  <si>
    <t>McMann</t>
  </si>
  <si>
    <t>Rooney</t>
  </si>
  <si>
    <t>Jabbar</t>
  </si>
  <si>
    <t>Lewis</t>
  </si>
  <si>
    <t>Levinson</t>
  </si>
  <si>
    <t>Rockefeller</t>
  </si>
  <si>
    <t>Starr</t>
  </si>
  <si>
    <t>Bing</t>
  </si>
  <si>
    <t>Sommer</t>
  </si>
  <si>
    <t>Maniani</t>
  </si>
  <si>
    <t>Silverstone</t>
  </si>
  <si>
    <t>Silberschatz</t>
  </si>
  <si>
    <t>Sonnenfeld</t>
  </si>
  <si>
    <t>Feldenkreis</t>
  </si>
  <si>
    <t>Upledger</t>
  </si>
  <si>
    <t>Cooper</t>
  </si>
  <si>
    <t>Caper</t>
  </si>
  <si>
    <t>Collinsworth</t>
  </si>
  <si>
    <t>House</t>
  </si>
  <si>
    <t>Epps</t>
  </si>
  <si>
    <t>Leonards</t>
  </si>
  <si>
    <t>Cheney</t>
  </si>
  <si>
    <t>Brzezinski</t>
  </si>
  <si>
    <t>Ostranski</t>
  </si>
  <si>
    <t>Olziersky</t>
  </si>
  <si>
    <t>Sarkozy</t>
  </si>
  <si>
    <t>Szabo</t>
  </si>
  <si>
    <t>Halmos</t>
  </si>
  <si>
    <t>Taniyama</t>
  </si>
  <si>
    <t>Lang</t>
  </si>
  <si>
    <t>Guinsburg</t>
  </si>
  <si>
    <t>Bukowski</t>
  </si>
  <si>
    <t>Bismarck</t>
  </si>
  <si>
    <t>Orange</t>
  </si>
  <si>
    <t>Bentley</t>
  </si>
  <si>
    <t>Cummins</t>
  </si>
  <si>
    <t>Bethel</t>
  </si>
  <si>
    <t>Rosenberg</t>
  </si>
  <si>
    <t>Rosenfeld</t>
  </si>
  <si>
    <t>Pineiro</t>
  </si>
  <si>
    <t>Soarez</t>
  </si>
  <si>
    <t>Gonzalez</t>
  </si>
  <si>
    <t>Nguyen</t>
  </si>
  <si>
    <t>Silverado</t>
  </si>
  <si>
    <t>Pavlov</t>
  </si>
  <si>
    <t>Chernenko</t>
  </si>
  <si>
    <t>Suslov</t>
  </si>
  <si>
    <t>Forman</t>
  </si>
  <si>
    <t>Benitez</t>
  </si>
  <si>
    <t>Benini</t>
  </si>
  <si>
    <t>Puccini</t>
  </si>
  <si>
    <t>Wagner</t>
  </si>
  <si>
    <t>Stockhausen</t>
  </si>
  <si>
    <t>Xenakis</t>
  </si>
  <si>
    <t>Dribler</t>
  </si>
  <si>
    <t>Donkel</t>
  </si>
  <si>
    <t>Lecter</t>
  </si>
  <si>
    <t>Leicester</t>
  </si>
  <si>
    <t>Brewster</t>
  </si>
  <si>
    <t>Munster</t>
  </si>
  <si>
    <t>Hilbert</t>
  </si>
  <si>
    <t>Halbert</t>
  </si>
  <si>
    <t>Billington</t>
  </si>
  <si>
    <t>Pickerton</t>
  </si>
  <si>
    <t>Parkinson</t>
  </si>
  <si>
    <t>Denison</t>
  </si>
  <si>
    <t>Reichstag</t>
  </si>
  <si>
    <t>Larsen</t>
  </si>
  <si>
    <t>Viren</t>
  </si>
  <si>
    <t>Palme</t>
  </si>
  <si>
    <t>Dover</t>
  </si>
  <si>
    <t>Highlander</t>
  </si>
  <si>
    <t>Chopin</t>
  </si>
  <si>
    <t>Liszt</t>
  </si>
  <si>
    <t>Hammet</t>
  </si>
  <si>
    <t>Luciano</t>
  </si>
  <si>
    <t>Pavaroti</t>
  </si>
  <si>
    <t>Caruso</t>
  </si>
  <si>
    <t>Towers</t>
  </si>
  <si>
    <t>Tedescho</t>
  </si>
  <si>
    <t>Franklin</t>
  </si>
  <si>
    <t>Brookline</t>
  </si>
  <si>
    <t>Fernandez</t>
  </si>
  <si>
    <t>Chong</t>
  </si>
  <si>
    <t>Cheech</t>
  </si>
  <si>
    <t>Putnam</t>
  </si>
  <si>
    <t>Putney</t>
  </si>
  <si>
    <t>Pericoloso</t>
  </si>
  <si>
    <t>Pernici</t>
  </si>
  <si>
    <t>Cavalli</t>
  </si>
  <si>
    <t>Bolton</t>
  </si>
  <si>
    <t>Belis</t>
  </si>
  <si>
    <t>Galis</t>
  </si>
  <si>
    <t>Lehman</t>
  </si>
  <si>
    <t>Leeman</t>
  </si>
  <si>
    <t>Schneider</t>
  </si>
  <si>
    <t>Snickerton</t>
  </si>
  <si>
    <t>Bayes</t>
  </si>
  <si>
    <t>Markov</t>
  </si>
  <si>
    <t>Pareto</t>
  </si>
  <si>
    <t>Guggenheim</t>
  </si>
  <si>
    <t>Cathcart</t>
  </si>
  <si>
    <t>Shimura</t>
  </si>
  <si>
    <t>Weil</t>
  </si>
  <si>
    <t>Veil</t>
  </si>
  <si>
    <t>Wiles</t>
  </si>
  <si>
    <t>Burbaki</t>
  </si>
  <si>
    <t>Higgs</t>
  </si>
  <si>
    <t>Montagna</t>
  </si>
  <si>
    <t>Capuletti</t>
  </si>
  <si>
    <t>Martinet</t>
  </si>
  <si>
    <t>Thompson</t>
  </si>
  <si>
    <t>Thomson</t>
  </si>
  <si>
    <t>Barber</t>
  </si>
  <si>
    <t>Grauer</t>
  </si>
  <si>
    <t>Gerber</t>
  </si>
  <si>
    <t>Kirchener</t>
  </si>
  <si>
    <t>Kostner</t>
  </si>
  <si>
    <t>McBeth</t>
  </si>
  <si>
    <t>McGowan</t>
  </si>
  <si>
    <t>Maclaren</t>
  </si>
  <si>
    <t>Renault</t>
  </si>
  <si>
    <t>Peugeot</t>
  </si>
  <si>
    <t>Binder</t>
  </si>
  <si>
    <t>Bennet</t>
  </si>
  <si>
    <t>Dominico</t>
  </si>
  <si>
    <t>Camelot</t>
  </si>
  <si>
    <t>Cruise</t>
  </si>
  <si>
    <t>Bennigan</t>
  </si>
  <si>
    <t>McClintock</t>
  </si>
  <si>
    <t>Beckham</t>
  </si>
  <si>
    <t>Consiglio</t>
  </si>
  <si>
    <t>Cartwright</t>
  </si>
  <si>
    <t>Wright</t>
  </si>
  <si>
    <t>Rowlands</t>
  </si>
  <si>
    <t>Rossberger</t>
  </si>
  <si>
    <t>Kilmer</t>
  </si>
  <si>
    <t>Spoletti</t>
  </si>
  <si>
    <t>Gustavson</t>
  </si>
  <si>
    <t>Berensohn</t>
  </si>
  <si>
    <t>Bahrens</t>
  </si>
  <si>
    <t>Magellan</t>
  </si>
  <si>
    <t>Kaynes</t>
  </si>
  <si>
    <t>Baines</t>
  </si>
  <si>
    <t>Colmer</t>
  </si>
  <si>
    <t>Chiappe</t>
  </si>
  <si>
    <t>Ciano</t>
  </si>
  <si>
    <t>Keegan</t>
  </si>
  <si>
    <t>Reagan</t>
  </si>
  <si>
    <t>Regan</t>
  </si>
  <si>
    <t>Lincoln</t>
  </si>
  <si>
    <t>Lanceberger</t>
  </si>
  <si>
    <t>Samson</t>
  </si>
  <si>
    <t>Simpson</t>
  </si>
  <si>
    <t>Kasparov</t>
  </si>
  <si>
    <t>Lindemann</t>
  </si>
  <si>
    <t>Linden</t>
  </si>
  <si>
    <t>Guiles</t>
  </si>
  <si>
    <t>Hargitay</t>
  </si>
  <si>
    <t>Belzer</t>
  </si>
  <si>
    <t>Hertz</t>
  </si>
  <si>
    <t>Herzog</t>
  </si>
  <si>
    <t>McNamara</t>
  </si>
  <si>
    <t>Campanella</t>
  </si>
  <si>
    <t>Aarhus</t>
  </si>
  <si>
    <t>Noble</t>
  </si>
  <si>
    <t>Neville</t>
  </si>
  <si>
    <t>Mortimer</t>
  </si>
  <si>
    <t>Sikorski</t>
  </si>
  <si>
    <t>Stabler</t>
  </si>
  <si>
    <t>Toveney</t>
  </si>
  <si>
    <t>Wetherby</t>
  </si>
  <si>
    <t>Carnaby</t>
  </si>
  <si>
    <t>Chisholm</t>
  </si>
  <si>
    <t>Stapleton</t>
  </si>
  <si>
    <t>Morrison</t>
  </si>
  <si>
    <t>Manzanera</t>
  </si>
  <si>
    <t>Byrne</t>
  </si>
  <si>
    <t>Eno</t>
  </si>
  <si>
    <t>Zappa</t>
  </si>
  <si>
    <t>Floyd</t>
  </si>
  <si>
    <t>Crocket</t>
  </si>
  <si>
    <t>Rickette</t>
  </si>
  <si>
    <t>Bolzano</t>
  </si>
  <si>
    <t>Bernuille</t>
  </si>
  <si>
    <t>Bataille</t>
  </si>
  <si>
    <t>Milner</t>
  </si>
  <si>
    <t>Jonasson</t>
  </si>
  <si>
    <t>Albus</t>
  </si>
  <si>
    <t>Mikasa</t>
  </si>
  <si>
    <t>Mikado</t>
  </si>
  <si>
    <t>Panucci</t>
  </si>
  <si>
    <t>Gucci</t>
  </si>
  <si>
    <t>Metcalfe</t>
  </si>
  <si>
    <t>Mary</t>
  </si>
  <si>
    <t>Debbie</t>
  </si>
  <si>
    <t>Anne</t>
  </si>
  <si>
    <t>Isabelle</t>
  </si>
  <si>
    <t>Domenique</t>
  </si>
  <si>
    <t>Stephanie</t>
  </si>
  <si>
    <t>Lisa</t>
  </si>
  <si>
    <t>Beth</t>
  </si>
  <si>
    <t>Bethany</t>
  </si>
  <si>
    <t>Euridice</t>
  </si>
  <si>
    <t>Juliette</t>
  </si>
  <si>
    <t>Justine</t>
  </si>
  <si>
    <t>Rhonda</t>
  </si>
  <si>
    <t>Jessie</t>
  </si>
  <si>
    <t>Priscilla</t>
  </si>
  <si>
    <t>Kiki</t>
  </si>
  <si>
    <t>Mimi</t>
  </si>
  <si>
    <t>Francisca</t>
  </si>
  <si>
    <t>Sandra</t>
  </si>
  <si>
    <t>Kelly</t>
  </si>
  <si>
    <t>Gill</t>
  </si>
  <si>
    <t>Jillian</t>
  </si>
  <si>
    <t>Verenice</t>
  </si>
  <si>
    <t>Lana</t>
  </si>
  <si>
    <t>Lara</t>
  </si>
  <si>
    <t>Minnie</t>
  </si>
  <si>
    <t>Daisy</t>
  </si>
  <si>
    <t>Clara</t>
  </si>
  <si>
    <t>Claris</t>
  </si>
  <si>
    <t>Libby</t>
  </si>
  <si>
    <t>Connie</t>
  </si>
  <si>
    <t>Daniela</t>
  </si>
  <si>
    <t>Mirela</t>
  </si>
  <si>
    <t>Nancy</t>
  </si>
  <si>
    <t>Bela</t>
  </si>
  <si>
    <t>Margaret</t>
  </si>
  <si>
    <t>Eloise</t>
  </si>
  <si>
    <t>Beneditta</t>
  </si>
  <si>
    <t>Alexandra</t>
  </si>
  <si>
    <t>Sasha</t>
  </si>
  <si>
    <t>Natasha</t>
  </si>
  <si>
    <t>Milly</t>
  </si>
  <si>
    <t>Alexis</t>
  </si>
  <si>
    <t>Stacie</t>
  </si>
  <si>
    <t>Anastasia</t>
  </si>
  <si>
    <t>Melina</t>
  </si>
  <si>
    <t>Melinda</t>
  </si>
  <si>
    <t>Joyce</t>
  </si>
  <si>
    <t>Carmen</t>
  </si>
  <si>
    <t>Electra</t>
  </si>
  <si>
    <t>Irene</t>
  </si>
  <si>
    <t>Katie</t>
  </si>
  <si>
    <t>Elaine</t>
  </si>
  <si>
    <t>Eleanor</t>
  </si>
  <si>
    <t>Sharon</t>
  </si>
  <si>
    <t>Shannon</t>
  </si>
  <si>
    <t>Sue</t>
  </si>
  <si>
    <t>Monique</t>
  </si>
  <si>
    <t>Isadora</t>
  </si>
  <si>
    <t>Gillian</t>
  </si>
  <si>
    <t>Rita</t>
  </si>
  <si>
    <t>Candace</t>
  </si>
  <si>
    <t>Tracie</t>
  </si>
  <si>
    <t>Ginny</t>
  </si>
  <si>
    <t>Laura</t>
  </si>
  <si>
    <t>Susie</t>
  </si>
  <si>
    <t>Tori</t>
  </si>
  <si>
    <t>Kendra</t>
  </si>
  <si>
    <t>Renee</t>
  </si>
  <si>
    <t>Kathleen</t>
  </si>
  <si>
    <t>Christina</t>
  </si>
  <si>
    <t>Amber</t>
  </si>
  <si>
    <t>Dolphine</t>
  </si>
  <si>
    <t>Sophie</t>
  </si>
  <si>
    <t>Ashley</t>
  </si>
  <si>
    <t>Carina</t>
  </si>
  <si>
    <t>Maureen</t>
  </si>
  <si>
    <t>Filomena</t>
  </si>
  <si>
    <t>Jennie</t>
  </si>
  <si>
    <t>Jeanie</t>
  </si>
  <si>
    <t>Philippa</t>
  </si>
  <si>
    <t>Bianca</t>
  </si>
  <si>
    <t>Antonia</t>
  </si>
  <si>
    <t>Rosaleen</t>
  </si>
  <si>
    <t>Rosa</t>
  </si>
  <si>
    <t>Samantha</t>
  </si>
  <si>
    <t>Ella</t>
  </si>
  <si>
    <t>Rinette</t>
  </si>
  <si>
    <t>Claudia</t>
  </si>
  <si>
    <t>Judy</t>
  </si>
  <si>
    <t>Kara</t>
  </si>
  <si>
    <t>Paula</t>
  </si>
  <si>
    <t>Kim</t>
  </si>
  <si>
    <t>Dominique</t>
  </si>
  <si>
    <t>Angelique</t>
  </si>
  <si>
    <t>Angela</t>
  </si>
  <si>
    <t>Coleen</t>
  </si>
  <si>
    <t>Louise</t>
  </si>
  <si>
    <t>Alice</t>
  </si>
  <si>
    <t>Melissa</t>
  </si>
  <si>
    <t>Billie</t>
  </si>
  <si>
    <t>Alie</t>
  </si>
  <si>
    <t>Pattie</t>
  </si>
  <si>
    <t>Pam</t>
  </si>
  <si>
    <t>Pamela</t>
  </si>
  <si>
    <t>Patricia</t>
  </si>
  <si>
    <t>Trice</t>
  </si>
  <si>
    <t>Lexi</t>
  </si>
  <si>
    <t>Molly</t>
  </si>
  <si>
    <t>Courtney</t>
  </si>
  <si>
    <t>Sabrina</t>
  </si>
  <si>
    <t>Brooke</t>
  </si>
  <si>
    <t>Julie</t>
  </si>
  <si>
    <t>Poly</t>
  </si>
  <si>
    <t>Polyanne</t>
  </si>
  <si>
    <t>Amie</t>
  </si>
  <si>
    <t>Maya</t>
  </si>
  <si>
    <t>Faye</t>
  </si>
  <si>
    <t>Valerie</t>
  </si>
  <si>
    <t>Mia</t>
  </si>
  <si>
    <t>Paige</t>
  </si>
  <si>
    <t>Cara</t>
  </si>
  <si>
    <t>Austin</t>
  </si>
  <si>
    <t>Emma</t>
  </si>
  <si>
    <t>Danielle</t>
  </si>
  <si>
    <t>Della</t>
  </si>
  <si>
    <t>LeeAnne</t>
  </si>
  <si>
    <t>Whitney</t>
  </si>
  <si>
    <t>Kaye</t>
  </si>
  <si>
    <t>Brianna</t>
  </si>
  <si>
    <t>Mandy</t>
  </si>
  <si>
    <t>Collette</t>
  </si>
  <si>
    <t>Mae</t>
  </si>
  <si>
    <t>Bridget</t>
  </si>
  <si>
    <t>Megan</t>
  </si>
  <si>
    <t>Rachel</t>
  </si>
  <si>
    <t>Rebecca</t>
  </si>
  <si>
    <t>Becca</t>
  </si>
  <si>
    <t>Erica</t>
  </si>
  <si>
    <t>Victoria</t>
  </si>
  <si>
    <t>Hayley</t>
  </si>
  <si>
    <t>Brittany</t>
  </si>
  <si>
    <t>Cassandra</t>
  </si>
  <si>
    <t>Trinian</t>
  </si>
  <si>
    <t>Grace</t>
  </si>
  <si>
    <t>Darlene</t>
  </si>
  <si>
    <t>Sally</t>
  </si>
  <si>
    <t>Sallie</t>
  </si>
  <si>
    <t>Lois</t>
  </si>
  <si>
    <t>Milena</t>
  </si>
  <si>
    <t>Vickie</t>
  </si>
  <si>
    <t>Vanessa</t>
  </si>
  <si>
    <t>Evangeline</t>
  </si>
  <si>
    <t>Charlotte</t>
  </si>
  <si>
    <t>Emily</t>
  </si>
  <si>
    <t>Millie</t>
  </si>
  <si>
    <t>Jane</t>
  </si>
  <si>
    <t>Jenny</t>
  </si>
  <si>
    <t>Miranda</t>
  </si>
  <si>
    <t>Gail</t>
  </si>
  <si>
    <t>Nina</t>
  </si>
  <si>
    <t>Tina</t>
  </si>
  <si>
    <t>Rosalie</t>
  </si>
  <si>
    <t>Selena</t>
  </si>
  <si>
    <t>Eva</t>
  </si>
  <si>
    <t>Eve</t>
  </si>
  <si>
    <t>Carla</t>
  </si>
  <si>
    <t>Kirstgen</t>
  </si>
  <si>
    <t>Piper</t>
  </si>
  <si>
    <t>Heather</t>
  </si>
  <si>
    <t>Cassie</t>
  </si>
  <si>
    <t>Diane</t>
  </si>
  <si>
    <t>Renata</t>
  </si>
  <si>
    <t>Gwen</t>
  </si>
  <si>
    <t>Hailey</t>
  </si>
  <si>
    <t>Lili</t>
  </si>
  <si>
    <t>Harriet</t>
  </si>
  <si>
    <t>Gerta</t>
  </si>
  <si>
    <t>Cynthia</t>
  </si>
  <si>
    <t>Cindy</t>
  </si>
  <si>
    <t>Halle</t>
  </si>
  <si>
    <t>Amelia</t>
  </si>
  <si>
    <t>Amalia</t>
  </si>
  <si>
    <t>Georgina</t>
  </si>
  <si>
    <t>Andrea</t>
  </si>
  <si>
    <t>Nicole</t>
  </si>
  <si>
    <t>Pauline</t>
  </si>
  <si>
    <t>Jasmine</t>
  </si>
  <si>
    <t>Marilyn</t>
  </si>
  <si>
    <t>Gina</t>
  </si>
  <si>
    <t>Mina</t>
  </si>
  <si>
    <t>Lina</t>
  </si>
  <si>
    <t>Lylah</t>
  </si>
  <si>
    <t>Trina</t>
  </si>
  <si>
    <t>Audrey</t>
  </si>
  <si>
    <t>Sarah</t>
  </si>
  <si>
    <t>Celeste</t>
  </si>
  <si>
    <t>Rayna</t>
  </si>
  <si>
    <t>Rania</t>
  </si>
  <si>
    <t>Greta</t>
  </si>
  <si>
    <t>Penny</t>
  </si>
  <si>
    <t>Chantal</t>
  </si>
  <si>
    <t>Natalie</t>
  </si>
  <si>
    <t>Lori</t>
  </si>
  <si>
    <t>Frieda</t>
  </si>
  <si>
    <t>Lilian</t>
  </si>
  <si>
    <t>Lilianne</t>
  </si>
  <si>
    <t>Dimitra</t>
  </si>
  <si>
    <t>Ava</t>
  </si>
  <si>
    <t>Lauren</t>
  </si>
  <si>
    <t>Linda</t>
  </si>
  <si>
    <t>Mercedes</t>
  </si>
  <si>
    <t>Fran</t>
  </si>
  <si>
    <t>Frankie</t>
  </si>
  <si>
    <t>Lucille</t>
  </si>
  <si>
    <t>Lucy</t>
  </si>
  <si>
    <t>Lucretia</t>
  </si>
  <si>
    <t>Ophelia</t>
  </si>
  <si>
    <t>Ismene</t>
  </si>
  <si>
    <t>Antigone</t>
  </si>
  <si>
    <t>Ekave</t>
  </si>
  <si>
    <t>Barbara</t>
  </si>
  <si>
    <t>Barb</t>
  </si>
  <si>
    <t>Ortance</t>
  </si>
  <si>
    <t>Solange</t>
  </si>
  <si>
    <t>Ariel</t>
  </si>
  <si>
    <t>Binkie</t>
  </si>
  <si>
    <t>Inghe</t>
  </si>
  <si>
    <t>Imke</t>
  </si>
  <si>
    <t>Elke</t>
  </si>
  <si>
    <t>Dahlia</t>
  </si>
  <si>
    <t>Estrella</t>
  </si>
  <si>
    <t>Consuela</t>
  </si>
  <si>
    <t>Pistis</t>
  </si>
  <si>
    <t>Ethel</t>
  </si>
  <si>
    <t>Chryssa</t>
  </si>
  <si>
    <t>Alyssa</t>
  </si>
  <si>
    <t>Astarte</t>
  </si>
  <si>
    <t>Kirsten</t>
  </si>
  <si>
    <t>Leticia</t>
  </si>
  <si>
    <t>Krista</t>
  </si>
  <si>
    <t>Constance</t>
  </si>
  <si>
    <t>Lavinia</t>
  </si>
  <si>
    <t>Lizzie</t>
  </si>
  <si>
    <t>Kimberly</t>
  </si>
  <si>
    <t>Camelia</t>
  </si>
  <si>
    <t>Agagtha</t>
  </si>
  <si>
    <t>Persa</t>
  </si>
  <si>
    <t>Persephone</t>
  </si>
  <si>
    <t>Penelope</t>
  </si>
  <si>
    <t>Mirka</t>
  </si>
  <si>
    <t>Elisabeta</t>
  </si>
  <si>
    <t>Bertha</t>
  </si>
  <si>
    <t>Martha</t>
  </si>
  <si>
    <t>Olivia</t>
  </si>
  <si>
    <t>Kayla</t>
  </si>
  <si>
    <t>Dana</t>
  </si>
  <si>
    <t>Johnson</t>
  </si>
  <si>
    <t>Williams</t>
  </si>
  <si>
    <t>Jones</t>
  </si>
  <si>
    <t>Davis</t>
  </si>
  <si>
    <t>Garcia</t>
  </si>
  <si>
    <t>Rodriguez</t>
  </si>
  <si>
    <t>Martinez</t>
  </si>
  <si>
    <t>Taylor</t>
  </si>
  <si>
    <t>Hernandez</t>
  </si>
  <si>
    <t>Moore</t>
  </si>
  <si>
    <t>Lopez</t>
  </si>
  <si>
    <t>Harris</t>
  </si>
  <si>
    <t>Robinson</t>
  </si>
  <si>
    <t>Walker</t>
  </si>
  <si>
    <t>Perez</t>
  </si>
  <si>
    <t>Hall</t>
  </si>
  <si>
    <t>Young</t>
  </si>
  <si>
    <t>Sanchez</t>
  </si>
  <si>
    <t>King</t>
  </si>
  <si>
    <t>Baker</t>
  </si>
  <si>
    <t>Nelson</t>
  </si>
  <si>
    <t>Hill</t>
  </si>
  <si>
    <t>Ramirez</t>
  </si>
  <si>
    <t>Campbell</t>
  </si>
  <si>
    <t>Mitchell</t>
  </si>
  <si>
    <t>Roberts</t>
  </si>
  <si>
    <t>Evans</t>
  </si>
  <si>
    <t>Turner</t>
  </si>
  <si>
    <t>Torres</t>
  </si>
  <si>
    <t>Parker</t>
  </si>
  <si>
    <t>Edwards</t>
  </si>
  <si>
    <t>Flores</t>
  </si>
  <si>
    <t>Murphy</t>
  </si>
  <si>
    <t>Rivera</t>
  </si>
  <si>
    <t>Cook</t>
  </si>
  <si>
    <t>Rogers</t>
  </si>
  <si>
    <t>Bailey</t>
  </si>
  <si>
    <t>Bell</t>
  </si>
  <si>
    <t>Gomez</t>
  </si>
  <si>
    <t>Howard</t>
  </si>
  <si>
    <t>Ward</t>
  </si>
  <si>
    <t>Cox</t>
  </si>
  <si>
    <t>Diaz</t>
  </si>
  <si>
    <t>Richardson</t>
  </si>
  <si>
    <t>Wood</t>
  </si>
  <si>
    <t>Watson</t>
  </si>
  <si>
    <t>Brooks</t>
  </si>
  <si>
    <t>Bennett</t>
  </si>
  <si>
    <t>Gray</t>
  </si>
  <si>
    <t>Reyes</t>
  </si>
  <si>
    <t>Cruz</t>
  </si>
  <si>
    <t>Hughes</t>
  </si>
  <si>
    <t>Price</t>
  </si>
  <si>
    <t>Myers</t>
  </si>
  <si>
    <t>Long</t>
  </si>
  <si>
    <t>Foster</t>
  </si>
  <si>
    <t>Sanders</t>
  </si>
  <si>
    <t>Morales</t>
  </si>
  <si>
    <t>Powell</t>
  </si>
  <si>
    <t>Sullivan</t>
  </si>
  <si>
    <t>Russell</t>
  </si>
  <si>
    <t>Ortiz</t>
  </si>
  <si>
    <t>Jenkins</t>
  </si>
  <si>
    <t>Gutierrez</t>
  </si>
  <si>
    <t>Perry</t>
  </si>
  <si>
    <t>Butler</t>
  </si>
  <si>
    <t>Fisher</t>
  </si>
  <si>
    <t>Henderson</t>
  </si>
  <si>
    <t>Coleman</t>
  </si>
  <si>
    <t>Patterson</t>
  </si>
  <si>
    <t>Jordan</t>
  </si>
  <si>
    <t>Reynolds</t>
  </si>
  <si>
    <t>Gonzales</t>
  </si>
  <si>
    <t>Alexander</t>
  </si>
  <si>
    <t>Ramos</t>
  </si>
  <si>
    <t>Wallace</t>
  </si>
  <si>
    <t>Griffin</t>
  </si>
  <si>
    <t>Hayes</t>
  </si>
  <si>
    <t>Chavez</t>
  </si>
  <si>
    <t>Gibson</t>
  </si>
  <si>
    <t>Bryant</t>
  </si>
  <si>
    <t>Ellis</t>
  </si>
  <si>
    <t>Murray</t>
  </si>
  <si>
    <t>Marshall</t>
  </si>
  <si>
    <t>Owens</t>
  </si>
  <si>
    <t>Mcdonald</t>
  </si>
  <si>
    <t>Ruiz</t>
  </si>
  <si>
    <t>Kennedy</t>
  </si>
  <si>
    <t>Wells</t>
  </si>
  <si>
    <t>Alvarez</t>
  </si>
  <si>
    <t>Woods</t>
  </si>
  <si>
    <t>Mendoza</t>
  </si>
  <si>
    <t>Castillo</t>
  </si>
  <si>
    <t>Olson</t>
  </si>
  <si>
    <t>Tucker</t>
  </si>
  <si>
    <t>Burns</t>
  </si>
  <si>
    <t>Vasquez</t>
  </si>
  <si>
    <t>Snyder</t>
  </si>
  <si>
    <t>Crawford</t>
  </si>
  <si>
    <t>Jimenez</t>
  </si>
  <si>
    <t>Porter</t>
  </si>
  <si>
    <t>Shaw</t>
  </si>
  <si>
    <t>Romero</t>
  </si>
  <si>
    <t>Hicks</t>
  </si>
  <si>
    <t>Dixon</t>
  </si>
  <si>
    <t>Hunt</t>
  </si>
  <si>
    <t>Robertson</t>
  </si>
  <si>
    <t>Black</t>
  </si>
  <si>
    <t>Holmes</t>
  </si>
  <si>
    <t>Meyer</t>
  </si>
  <si>
    <t>Boyd</t>
  </si>
  <si>
    <t>Mills</t>
  </si>
  <si>
    <t>Warren</t>
  </si>
  <si>
    <t>Fox</t>
  </si>
  <si>
    <t>Rose</t>
  </si>
  <si>
    <t>Rice</t>
  </si>
  <si>
    <t>Moreno</t>
  </si>
  <si>
    <t>Schmidt</t>
  </si>
  <si>
    <t>Patel</t>
  </si>
  <si>
    <t>Ferguson</t>
  </si>
  <si>
    <t>Nichols</t>
  </si>
  <si>
    <t>Herrera</t>
  </si>
  <si>
    <t>Weaver</t>
  </si>
  <si>
    <t>Daniels</t>
  </si>
  <si>
    <t>Kelley</t>
  </si>
  <si>
    <t>Dunn</t>
  </si>
  <si>
    <t>Pierce</t>
  </si>
  <si>
    <t>Tran</t>
  </si>
  <si>
    <t>Peters</t>
  </si>
  <si>
    <t>Hansen</t>
  </si>
  <si>
    <t>Castro</t>
  </si>
  <si>
    <t>Hoffman</t>
  </si>
  <si>
    <t>Elliott</t>
  </si>
  <si>
    <t>Cunningham</t>
  </si>
  <si>
    <t>Knight</t>
  </si>
  <si>
    <t>Bradley</t>
  </si>
  <si>
    <t>Carroll</t>
  </si>
  <si>
    <t>Hudson</t>
  </si>
  <si>
    <t>Andrews</t>
  </si>
  <si>
    <t>Johnston</t>
  </si>
  <si>
    <t>Riley</t>
  </si>
  <si>
    <t>Aguilar</t>
  </si>
  <si>
    <t>Silva</t>
  </si>
  <si>
    <t>Richards</t>
  </si>
  <si>
    <t>Matthews</t>
  </si>
  <si>
    <t>Chapman</t>
  </si>
  <si>
    <t>Lawrence</t>
  </si>
  <si>
    <t>Garza</t>
  </si>
  <si>
    <t>Vargas</t>
  </si>
  <si>
    <t>Watkins</t>
  </si>
  <si>
    <t>Wheeler</t>
  </si>
  <si>
    <t>Carlson</t>
  </si>
  <si>
    <t>Harper</t>
  </si>
  <si>
    <t>Greene</t>
  </si>
  <si>
    <t>Guzman</t>
  </si>
  <si>
    <t>Munoz</t>
  </si>
  <si>
    <t>Jacobs</t>
  </si>
  <si>
    <t>Obrien</t>
  </si>
  <si>
    <t>Lawson</t>
  </si>
  <si>
    <t>Lynch</t>
  </si>
  <si>
    <t>Bishop</t>
  </si>
  <si>
    <t>Carr</t>
  </si>
  <si>
    <t>Salazar</t>
  </si>
  <si>
    <t>Mendez</t>
  </si>
  <si>
    <t>Jensen</t>
  </si>
  <si>
    <t>Williamson</t>
  </si>
  <si>
    <t>Montgomery</t>
  </si>
  <si>
    <t>Harvey</t>
  </si>
  <si>
    <t>Howell</t>
  </si>
  <si>
    <t>Hanson</t>
  </si>
  <si>
    <t>Weber</t>
  </si>
  <si>
    <t>Garrett</t>
  </si>
  <si>
    <t>Sims</t>
  </si>
  <si>
    <t>Burton</t>
  </si>
  <si>
    <t>Fuller</t>
  </si>
  <si>
    <t>Soto</t>
  </si>
  <si>
    <t>Mccoy</t>
  </si>
  <si>
    <t>Welch</t>
  </si>
  <si>
    <t>Chen</t>
  </si>
  <si>
    <t>Walters</t>
  </si>
  <si>
    <t>Reid</t>
  </si>
  <si>
    <t>Fields</t>
  </si>
  <si>
    <t>Walsh</t>
  </si>
  <si>
    <t>Little</t>
  </si>
  <si>
    <t>Fowler</t>
  </si>
  <si>
    <t>Bowman</t>
  </si>
  <si>
    <t>Davidson</t>
  </si>
  <si>
    <t>May</t>
  </si>
  <si>
    <t>Day</t>
  </si>
  <si>
    <t>Newman</t>
  </si>
  <si>
    <t>Brewer</t>
  </si>
  <si>
    <t>Lucas</t>
  </si>
  <si>
    <t>Wong</t>
  </si>
  <si>
    <t>Santos</t>
  </si>
  <si>
    <t>Delgado</t>
  </si>
  <si>
    <t>Valdez</t>
  </si>
  <si>
    <t>Pena</t>
  </si>
  <si>
    <t>Rios</t>
  </si>
  <si>
    <t>Sandoval</t>
  </si>
  <si>
    <t>Barrett</t>
  </si>
  <si>
    <t>Guerrero</t>
  </si>
  <si>
    <t>Bates</t>
  </si>
  <si>
    <t>Alvarado</t>
  </si>
  <si>
    <t>Beck</t>
  </si>
  <si>
    <t>Ortega</t>
  </si>
  <si>
    <t>Wade</t>
  </si>
  <si>
    <t>Estrada</t>
  </si>
  <si>
    <t>Contreras</t>
  </si>
  <si>
    <t>Barnett</t>
  </si>
  <si>
    <t>Caldwell</t>
  </si>
  <si>
    <t>Santiago</t>
  </si>
  <si>
    <t>Lambert</t>
  </si>
  <si>
    <t>Powers</t>
  </si>
  <si>
    <t>Chambers</t>
  </si>
  <si>
    <t>Nunez</t>
  </si>
  <si>
    <t>Craig</t>
  </si>
  <si>
    <t>Lowe</t>
  </si>
  <si>
    <t>Rhodes</t>
  </si>
  <si>
    <t>Byrd</t>
  </si>
  <si>
    <t>Gregory</t>
  </si>
  <si>
    <t>Shelton</t>
  </si>
  <si>
    <t>Frazier</t>
  </si>
  <si>
    <t>Becker</t>
  </si>
  <si>
    <t>Maldonado</t>
  </si>
  <si>
    <t>Fleming</t>
  </si>
  <si>
    <t>Vega</t>
  </si>
  <si>
    <t>Sutton</t>
  </si>
  <si>
    <t>Jennings</t>
  </si>
  <si>
    <t>Parks</t>
  </si>
  <si>
    <t>Mcdaniel</t>
  </si>
  <si>
    <t>Watts</t>
  </si>
  <si>
    <t>Barker</t>
  </si>
  <si>
    <t>Norris</t>
  </si>
  <si>
    <t>Vaughn</t>
  </si>
  <si>
    <t>Vazquez</t>
  </si>
  <si>
    <t>Holt</t>
  </si>
  <si>
    <t>Steele</t>
  </si>
  <si>
    <t>Benson</t>
  </si>
  <si>
    <t>Dominguez</t>
  </si>
  <si>
    <t>Horton</t>
  </si>
  <si>
    <t>Terry</t>
  </si>
  <si>
    <t>Hale</t>
  </si>
  <si>
    <t>Lyons</t>
  </si>
  <si>
    <t>Graves</t>
  </si>
  <si>
    <t>Haynes</t>
  </si>
  <si>
    <t>Park</t>
  </si>
  <si>
    <t>Warner</t>
  </si>
  <si>
    <t>Padilla</t>
  </si>
  <si>
    <t>Bush</t>
  </si>
  <si>
    <t>Thornton</t>
  </si>
  <si>
    <t>Mccarthy</t>
  </si>
  <si>
    <t>Mann</t>
  </si>
  <si>
    <t>Zimmerman</t>
  </si>
  <si>
    <t>Erickson</t>
  </si>
  <si>
    <t>Fletcher</t>
  </si>
  <si>
    <t>Mckinney</t>
  </si>
  <si>
    <t>Page</t>
  </si>
  <si>
    <t>Joseph</t>
  </si>
  <si>
    <t>Marquez</t>
  </si>
  <si>
    <t>Klein</t>
  </si>
  <si>
    <t>Espinoza</t>
  </si>
  <si>
    <t>Moran</t>
  </si>
  <si>
    <t>Love</t>
  </si>
  <si>
    <t>Ball</t>
  </si>
  <si>
    <t>Cortez</t>
  </si>
  <si>
    <t>Le</t>
  </si>
  <si>
    <t>Griffith</t>
  </si>
  <si>
    <t>Bowen</t>
  </si>
  <si>
    <t>Sharp</t>
  </si>
  <si>
    <t>Swanson</t>
  </si>
  <si>
    <t>Acosta</t>
  </si>
  <si>
    <t>Luna</t>
  </si>
  <si>
    <t>Blair</t>
  </si>
  <si>
    <t>Cross</t>
  </si>
  <si>
    <t>Oconnor</t>
  </si>
  <si>
    <t>Gross</t>
  </si>
  <si>
    <t>Navarro</t>
  </si>
  <si>
    <t>Moss</t>
  </si>
  <si>
    <t>Doyle</t>
  </si>
  <si>
    <t>Mclaughlin</t>
  </si>
  <si>
    <t>Rojas</t>
  </si>
  <si>
    <t>Rodgers</t>
  </si>
  <si>
    <t>Stevenson</t>
  </si>
  <si>
    <t>Singh</t>
  </si>
  <si>
    <t>Yang</t>
  </si>
  <si>
    <t>Harmon</t>
  </si>
  <si>
    <t>Manning</t>
  </si>
  <si>
    <t>Mcgee</t>
  </si>
  <si>
    <t>Reese</t>
  </si>
  <si>
    <t>Adkins</t>
  </si>
  <si>
    <t>Goodman</t>
  </si>
  <si>
    <t>Curry</t>
  </si>
  <si>
    <t>Brady</t>
  </si>
  <si>
    <t>Christensen</t>
  </si>
  <si>
    <t>Potter</t>
  </si>
  <si>
    <t>Walton</t>
  </si>
  <si>
    <t>Goodwin</t>
  </si>
  <si>
    <t>Mullins</t>
  </si>
  <si>
    <t>Molina</t>
  </si>
  <si>
    <t>Campos</t>
  </si>
  <si>
    <t>Avila</t>
  </si>
  <si>
    <t>Sherman</t>
  </si>
  <si>
    <t>Todd</t>
  </si>
  <si>
    <t>Chang</t>
  </si>
  <si>
    <t>Blake</t>
  </si>
  <si>
    <t>Hodges</t>
  </si>
  <si>
    <t>Juarez</t>
  </si>
  <si>
    <t>Farmer</t>
  </si>
  <si>
    <t>Hines</t>
  </si>
  <si>
    <t>Duran</t>
  </si>
  <si>
    <t>Hubbard</t>
  </si>
  <si>
    <t>Cannon</t>
  </si>
  <si>
    <t>Wang</t>
  </si>
  <si>
    <t>Saunders</t>
  </si>
  <si>
    <t>Tate</t>
  </si>
  <si>
    <t>Mack</t>
  </si>
  <si>
    <t>Hammond</t>
  </si>
  <si>
    <t>Carrillo</t>
  </si>
  <si>
    <t>Wise</t>
  </si>
  <si>
    <t>Ingram</t>
  </si>
  <si>
    <t>Barton</t>
  </si>
  <si>
    <t>Mejia</t>
  </si>
  <si>
    <t>Ayala</t>
  </si>
  <si>
    <t>Hampton</t>
  </si>
  <si>
    <t>Rowe</t>
  </si>
  <si>
    <t>Parsons</t>
  </si>
  <si>
    <t>Waters</t>
  </si>
  <si>
    <t>Strickland</t>
  </si>
  <si>
    <t>Osborne</t>
  </si>
  <si>
    <t>Maxwell</t>
  </si>
  <si>
    <t>Chan</t>
  </si>
  <si>
    <t>Deleon</t>
  </si>
  <si>
    <t>Harrington</t>
  </si>
  <si>
    <t>Casey</t>
  </si>
  <si>
    <t>Patton</t>
  </si>
  <si>
    <t>Logan</t>
  </si>
  <si>
    <t>Bowers</t>
  </si>
  <si>
    <t>Mueller</t>
  </si>
  <si>
    <t>Glover</t>
  </si>
  <si>
    <t>Hartman</t>
  </si>
  <si>
    <t>Buchanan</t>
  </si>
  <si>
    <t>Cobb</t>
  </si>
  <si>
    <t>French</t>
  </si>
  <si>
    <t>Kramer</t>
  </si>
  <si>
    <t>Tyler</t>
  </si>
  <si>
    <t>Moody</t>
  </si>
  <si>
    <t>Conner</t>
  </si>
  <si>
    <t>Sparks</t>
  </si>
  <si>
    <t>Mcguire</t>
  </si>
  <si>
    <t>Leon</t>
  </si>
  <si>
    <t>Bauer</t>
  </si>
  <si>
    <t>Norton</t>
  </si>
  <si>
    <t>Pope</t>
  </si>
  <si>
    <t>Hogan</t>
  </si>
  <si>
    <t>Robles</t>
  </si>
  <si>
    <t>Salinas</t>
  </si>
  <si>
    <t>Lindsey</t>
  </si>
  <si>
    <t>Marsh</t>
  </si>
  <si>
    <t>Mcbride</t>
  </si>
  <si>
    <t>Solis</t>
  </si>
  <si>
    <t>Pham</t>
  </si>
  <si>
    <t>Ballard</t>
  </si>
  <si>
    <t>Trujillo</t>
  </si>
  <si>
    <t>Shaffer</t>
  </si>
  <si>
    <t>Drake</t>
  </si>
  <si>
    <t>Roman</t>
  </si>
  <si>
    <t>Aguirre</t>
  </si>
  <si>
    <t>Morton</t>
  </si>
  <si>
    <t>Stokes</t>
  </si>
  <si>
    <t>Lamb</t>
  </si>
  <si>
    <t>Pacheco</t>
  </si>
  <si>
    <t>Cochran</t>
  </si>
  <si>
    <t>Shepherd</t>
  </si>
  <si>
    <t>Cain</t>
  </si>
  <si>
    <t>Burnett</t>
  </si>
  <si>
    <t>Hess</t>
  </si>
  <si>
    <t>Li</t>
  </si>
  <si>
    <t>Cervantes</t>
  </si>
  <si>
    <t>Olsen</t>
  </si>
  <si>
    <t>Ochoa</t>
  </si>
  <si>
    <t>Cabrera</t>
  </si>
  <si>
    <t>Velasquez</t>
  </si>
  <si>
    <t>Montoya</t>
  </si>
  <si>
    <t>Roth</t>
  </si>
  <si>
    <t>Meyers</t>
  </si>
  <si>
    <t>Cardenas</t>
  </si>
  <si>
    <t>Fuentes</t>
  </si>
  <si>
    <t>Weiss</t>
  </si>
  <si>
    <t>Hoover</t>
  </si>
  <si>
    <t>Nicholson</t>
  </si>
  <si>
    <t>Underwood</t>
  </si>
  <si>
    <t>Short</t>
  </si>
  <si>
    <t>Carson</t>
  </si>
  <si>
    <t>Morrow</t>
  </si>
  <si>
    <t>Colon</t>
  </si>
  <si>
    <t>Holloway</t>
  </si>
  <si>
    <t>Summers</t>
  </si>
  <si>
    <t>Bryan</t>
  </si>
  <si>
    <t>Petersen</t>
  </si>
  <si>
    <t>Mckenzie</t>
  </si>
  <si>
    <t>Serrano</t>
  </si>
  <si>
    <t>Wilcox</t>
  </si>
  <si>
    <t>Carey</t>
  </si>
  <si>
    <t>Poole</t>
  </si>
  <si>
    <t>Calderon</t>
  </si>
  <si>
    <t>Gallegos</t>
  </si>
  <si>
    <t>Greer</t>
  </si>
  <si>
    <t>Rivas</t>
  </si>
  <si>
    <t>Guerra</t>
  </si>
  <si>
    <t>Decker</t>
  </si>
  <si>
    <t>Collier</t>
  </si>
  <si>
    <t>Wall</t>
  </si>
  <si>
    <t>Whitaker</t>
  </si>
  <si>
    <t>Bass</t>
  </si>
  <si>
    <t>Flowers</t>
  </si>
  <si>
    <t>Davenport</t>
  </si>
  <si>
    <t>Conley</t>
  </si>
  <si>
    <t>Huff</t>
  </si>
  <si>
    <t>Copeland</t>
  </si>
  <si>
    <t>Hood</t>
  </si>
  <si>
    <t>Massey</t>
  </si>
  <si>
    <t>Roberson</t>
  </si>
  <si>
    <t>Combs</t>
  </si>
  <si>
    <t>Franco</t>
  </si>
  <si>
    <t>Pittman</t>
  </si>
  <si>
    <t>Skinner</t>
  </si>
  <si>
    <t>Wilkinson</t>
  </si>
  <si>
    <t>Kirby</t>
  </si>
  <si>
    <t>Cameron</t>
  </si>
  <si>
    <t>Singleton</t>
  </si>
  <si>
    <t>Mathis</t>
  </si>
  <si>
    <t>Bradford</t>
  </si>
  <si>
    <t>Boone</t>
  </si>
  <si>
    <t>Abbott</t>
  </si>
  <si>
    <t>Allison</t>
  </si>
  <si>
    <t>Sweeney</t>
  </si>
  <si>
    <t>Atkinson</t>
  </si>
  <si>
    <t>Horn</t>
  </si>
  <si>
    <t>Rosales</t>
  </si>
  <si>
    <t>York</t>
  </si>
  <si>
    <t>Phelps</t>
  </si>
  <si>
    <t>Farrell</t>
  </si>
  <si>
    <t>Castaneda</t>
  </si>
  <si>
    <t>Nash</t>
  </si>
  <si>
    <t>Dickerson</t>
  </si>
  <si>
    <t>Bond</t>
  </si>
  <si>
    <t>Wyatt</t>
  </si>
  <si>
    <t>Foley</t>
  </si>
  <si>
    <t>Gates</t>
  </si>
  <si>
    <t>Vincent</t>
  </si>
  <si>
    <t>Mathews</t>
  </si>
  <si>
    <t>Garrison</t>
  </si>
  <si>
    <t>Trevino</t>
  </si>
  <si>
    <t>Villarreal</t>
  </si>
  <si>
    <t>Heath</t>
  </si>
  <si>
    <t>Dalton</t>
  </si>
  <si>
    <t>Valencia</t>
  </si>
  <si>
    <t>Hensley</t>
  </si>
  <si>
    <t>Atkins</t>
  </si>
  <si>
    <t>Huffman</t>
  </si>
  <si>
    <t>Roy</t>
  </si>
  <si>
    <t>Boyer</t>
  </si>
  <si>
    <t>Lin</t>
  </si>
  <si>
    <t>Hancock</t>
  </si>
  <si>
    <t>Grimes</t>
  </si>
  <si>
    <t>Glenn</t>
  </si>
  <si>
    <t>Cline</t>
  </si>
  <si>
    <t>Delacruz</t>
  </si>
  <si>
    <t>Camacho</t>
  </si>
  <si>
    <t>Dillon</t>
  </si>
  <si>
    <t>Parrish</t>
  </si>
  <si>
    <t>Oneill</t>
  </si>
  <si>
    <t>Melton</t>
  </si>
  <si>
    <t>Booth</t>
  </si>
  <si>
    <t>Kane</t>
  </si>
  <si>
    <t>Berg</t>
  </si>
  <si>
    <t>Harrell</t>
  </si>
  <si>
    <t>Pitts</t>
  </si>
  <si>
    <t>Savage</t>
  </si>
  <si>
    <t>Wiggins</t>
  </si>
  <si>
    <t>Brennan</t>
  </si>
  <si>
    <t>Salas</t>
  </si>
  <si>
    <t>Marks</t>
  </si>
  <si>
    <t>Russo</t>
  </si>
  <si>
    <t>Baxter</t>
  </si>
  <si>
    <t>Golden</t>
  </si>
  <si>
    <t>Hutchinson</t>
  </si>
  <si>
    <t>Liu</t>
  </si>
  <si>
    <t>Walter</t>
  </si>
  <si>
    <t>Mcdowell</t>
  </si>
  <si>
    <t>Wiley</t>
  </si>
  <si>
    <t>Rich</t>
  </si>
  <si>
    <t>Humphrey</t>
  </si>
  <si>
    <t>Johns</t>
  </si>
  <si>
    <t>Koch</t>
  </si>
  <si>
    <t>Suarez</t>
  </si>
  <si>
    <t>Hobbs</t>
  </si>
  <si>
    <t>Beard</t>
  </si>
  <si>
    <t>Gilmore</t>
  </si>
  <si>
    <t>Ibarra</t>
  </si>
  <si>
    <t>Keith</t>
  </si>
  <si>
    <t>Macias</t>
  </si>
  <si>
    <t>Khan</t>
  </si>
  <si>
    <t>Andrade</t>
  </si>
  <si>
    <t>Ware</t>
  </si>
  <si>
    <t>Stephenson</t>
  </si>
  <si>
    <t>Henson</t>
  </si>
  <si>
    <t>Wilkerson</t>
  </si>
  <si>
    <t>Dyer</t>
  </si>
  <si>
    <t>Mcclure</t>
  </si>
  <si>
    <t>Blackwell</t>
  </si>
  <si>
    <t>Mercado</t>
  </si>
  <si>
    <t>Tanner</t>
  </si>
  <si>
    <t>Eaton</t>
  </si>
  <si>
    <t>Clay</t>
  </si>
  <si>
    <t>Barron</t>
  </si>
  <si>
    <t>Beasley</t>
  </si>
  <si>
    <t>Oneal</t>
  </si>
  <si>
    <t>Preston</t>
  </si>
  <si>
    <t>Small</t>
  </si>
  <si>
    <t>Wu</t>
  </si>
  <si>
    <t>Zamora</t>
  </si>
  <si>
    <t>Macdonald</t>
  </si>
  <si>
    <t>Vance</t>
  </si>
  <si>
    <t>Snow</t>
  </si>
  <si>
    <t>Mcclain</t>
  </si>
  <si>
    <t>Stafford</t>
  </si>
  <si>
    <t>Orozco</t>
  </si>
  <si>
    <t>English</t>
  </si>
  <si>
    <t>Kline</t>
  </si>
  <si>
    <t>Jacobson</t>
  </si>
  <si>
    <t>Woodard</t>
  </si>
  <si>
    <t>Huang</t>
  </si>
  <si>
    <t>Kemp</t>
  </si>
  <si>
    <t>Mosley</t>
  </si>
  <si>
    <t>Prince</t>
  </si>
  <si>
    <t>Merritt</t>
  </si>
  <si>
    <t>Villanueva</t>
  </si>
  <si>
    <t>Roach</t>
  </si>
  <si>
    <t>Nolan</t>
  </si>
  <si>
    <t>Lam</t>
  </si>
  <si>
    <t>Yoder</t>
  </si>
  <si>
    <t>Santana</t>
  </si>
  <si>
    <t>Valenzuela</t>
  </si>
  <si>
    <t>Winters</t>
  </si>
  <si>
    <t>Barrera</t>
  </si>
  <si>
    <t>Leach</t>
  </si>
  <si>
    <t>Orr</t>
  </si>
  <si>
    <t>Mckee</t>
  </si>
  <si>
    <t>Strong</t>
  </si>
  <si>
    <t>Conway</t>
  </si>
  <si>
    <t>Whitehead</t>
  </si>
  <si>
    <t>Bullock</t>
  </si>
  <si>
    <t>Escobar</t>
  </si>
  <si>
    <t>Knox</t>
  </si>
  <si>
    <t>Meadows</t>
  </si>
  <si>
    <t>Solomon</t>
  </si>
  <si>
    <t>Velez</t>
  </si>
  <si>
    <t>Odonnell</t>
  </si>
  <si>
    <t>Kerr</t>
  </si>
  <si>
    <t>Stout</t>
  </si>
  <si>
    <t>Blankenship</t>
  </si>
  <si>
    <t>Browning</t>
  </si>
  <si>
    <t>Lozano</t>
  </si>
  <si>
    <t>Bartlett</t>
  </si>
  <si>
    <t>Pruitt</t>
  </si>
  <si>
    <t>Buck</t>
  </si>
  <si>
    <t>Barr</t>
  </si>
  <si>
    <t>Gaines</t>
  </si>
  <si>
    <t>Gentry</t>
  </si>
  <si>
    <t>Mcintyre</t>
  </si>
  <si>
    <t>Melendez</t>
  </si>
  <si>
    <t>Rocha</t>
  </si>
  <si>
    <t>Herman</t>
  </si>
  <si>
    <t>Sexton</t>
  </si>
  <si>
    <t>Moon</t>
  </si>
  <si>
    <t>Hendricks</t>
  </si>
  <si>
    <t>Rangel</t>
  </si>
  <si>
    <t>Stark</t>
  </si>
  <si>
    <t>Lowery</t>
  </si>
  <si>
    <t>Hardin</t>
  </si>
  <si>
    <t>Hull</t>
  </si>
  <si>
    <t>Sellers</t>
  </si>
  <si>
    <t>Ellison</t>
  </si>
  <si>
    <t>Calhoun</t>
  </si>
  <si>
    <t>Gillespie</t>
  </si>
  <si>
    <t>Mora</t>
  </si>
  <si>
    <t>Knapp</t>
  </si>
  <si>
    <t>Mccall</t>
  </si>
  <si>
    <t>Morse</t>
  </si>
  <si>
    <t>Dorsey</t>
  </si>
  <si>
    <t>Weeks</t>
  </si>
  <si>
    <t>Nielsen</t>
  </si>
  <si>
    <t>Livingston</t>
  </si>
  <si>
    <t>Leblanc</t>
  </si>
  <si>
    <t>Mclean</t>
  </si>
  <si>
    <t>Bradshaw</t>
  </si>
  <si>
    <t>Glass</t>
  </si>
  <si>
    <t>Middleton</t>
  </si>
  <si>
    <t>Buckley</t>
  </si>
  <si>
    <t>Schaefer</t>
  </si>
  <si>
    <t>Frost</t>
  </si>
  <si>
    <t>Howe</t>
  </si>
  <si>
    <t>Mcintosh</t>
  </si>
  <si>
    <t>Ho</t>
  </si>
  <si>
    <t>Pennington</t>
  </si>
  <si>
    <t>Reilly</t>
  </si>
  <si>
    <t>Hebert</t>
  </si>
  <si>
    <t>Mcfarland</t>
  </si>
  <si>
    <t>Hickman</t>
  </si>
  <si>
    <t>Conrad</t>
  </si>
  <si>
    <t>Arias</t>
  </si>
  <si>
    <t>Galvan</t>
  </si>
  <si>
    <t>Velazquez</t>
  </si>
  <si>
    <t>Huynh</t>
  </si>
  <si>
    <t>Frederick</t>
  </si>
  <si>
    <t>Randolph</t>
  </si>
  <si>
    <t>Cantu</t>
  </si>
  <si>
    <t>Mahoney</t>
  </si>
  <si>
    <t>Peck</t>
  </si>
  <si>
    <t>Villa</t>
  </si>
  <si>
    <t>Michael</t>
  </si>
  <si>
    <t>Mcconnell</t>
  </si>
  <si>
    <t>Mayer</t>
  </si>
  <si>
    <t>Zuniga</t>
  </si>
  <si>
    <t>Giles</t>
  </si>
  <si>
    <t>Pineda</t>
  </si>
  <si>
    <t>Pace</t>
  </si>
  <si>
    <t>Hurley</t>
  </si>
  <si>
    <t>Mays</t>
  </si>
  <si>
    <t>Mcmillan</t>
  </si>
  <si>
    <t>Crosby</t>
  </si>
  <si>
    <t>Ayers</t>
  </si>
  <si>
    <t>Case</t>
  </si>
  <si>
    <t>Shepard</t>
  </si>
  <si>
    <t>Pugh</t>
  </si>
  <si>
    <t>Mcmahon</t>
  </si>
  <si>
    <t>Dunlap</t>
  </si>
  <si>
    <t>Bender</t>
  </si>
  <si>
    <t>Hahn</t>
  </si>
  <si>
    <t>Harding</t>
  </si>
  <si>
    <t>Acevedo</t>
  </si>
  <si>
    <t>Blackburn</t>
  </si>
  <si>
    <t>Duffy</t>
  </si>
  <si>
    <t>Landry</t>
  </si>
  <si>
    <t>Dougherty</t>
  </si>
  <si>
    <t>Bautista</t>
  </si>
  <si>
    <t>Shah</t>
  </si>
  <si>
    <t>Potts</t>
  </si>
  <si>
    <t>Arroyo</t>
  </si>
  <si>
    <t>Valentine</t>
  </si>
  <si>
    <t>Meza</t>
  </si>
  <si>
    <t>Gould</t>
  </si>
  <si>
    <t>Vaughan</t>
  </si>
  <si>
    <t>Fry</t>
  </si>
  <si>
    <t>Avery</t>
  </si>
  <si>
    <t>Herring</t>
  </si>
  <si>
    <t>Dodson</t>
  </si>
  <si>
    <t>Clements</t>
  </si>
  <si>
    <t>Sampson</t>
  </si>
  <si>
    <t>Tapia</t>
  </si>
  <si>
    <t>Bean</t>
  </si>
  <si>
    <t>Lynn</t>
  </si>
  <si>
    <t>Crane</t>
  </si>
  <si>
    <t>Farley</t>
  </si>
  <si>
    <t>Cisneros</t>
  </si>
  <si>
    <t>Benton</t>
  </si>
  <si>
    <t>Mckay</t>
  </si>
  <si>
    <t>Finley</t>
  </si>
  <si>
    <t>Best</t>
  </si>
  <si>
    <t>Blevins</t>
  </si>
  <si>
    <t>Friedman</t>
  </si>
  <si>
    <t>Sosa</t>
  </si>
  <si>
    <t>Blanchard</t>
  </si>
  <si>
    <t>Huber</t>
  </si>
  <si>
    <t>Frye</t>
  </si>
  <si>
    <t>Krueger</t>
  </si>
  <si>
    <t>Rosario</t>
  </si>
  <si>
    <t>Rubio</t>
  </si>
  <si>
    <t>Mullen</t>
  </si>
  <si>
    <t>Haley</t>
  </si>
  <si>
    <t>Chung</t>
  </si>
  <si>
    <t>Moyer</t>
  </si>
  <si>
    <t>Choi</t>
  </si>
  <si>
    <t>Horne</t>
  </si>
  <si>
    <t>Yu</t>
  </si>
  <si>
    <t>Ali</t>
  </si>
  <si>
    <t>Nixon</t>
  </si>
  <si>
    <t>Hayden</t>
  </si>
  <si>
    <t>Rivers</t>
  </si>
  <si>
    <t>Estes</t>
  </si>
  <si>
    <t>Mccarty</t>
  </si>
  <si>
    <t>Richmond</t>
  </si>
  <si>
    <t>Stuart</t>
  </si>
  <si>
    <t>Brandt</t>
  </si>
  <si>
    <t>Oconnell</t>
  </si>
  <si>
    <t>Hanna</t>
  </si>
  <si>
    <t>Sanford</t>
  </si>
  <si>
    <t>Sheppard</t>
  </si>
  <si>
    <t>Church</t>
  </si>
  <si>
    <t>Burch</t>
  </si>
  <si>
    <t>Levy</t>
  </si>
  <si>
    <t>Rasmussen</t>
  </si>
  <si>
    <t>Coffey</t>
  </si>
  <si>
    <t>Ponce</t>
  </si>
  <si>
    <t>Faulkner</t>
  </si>
  <si>
    <t>Donaldson</t>
  </si>
  <si>
    <t>Schmitt</t>
  </si>
  <si>
    <t>Novak</t>
  </si>
  <si>
    <t>Costa</t>
  </si>
  <si>
    <t>Montes</t>
  </si>
  <si>
    <t>Booker</t>
  </si>
  <si>
    <t>Cordova</t>
  </si>
  <si>
    <t>Waller</t>
  </si>
  <si>
    <t>Arellano</t>
  </si>
  <si>
    <t>Maddox</t>
  </si>
  <si>
    <t>Mata</t>
  </si>
  <si>
    <t>Bonilla</t>
  </si>
  <si>
    <t>Stanton</t>
  </si>
  <si>
    <t>Kaufman</t>
  </si>
  <si>
    <t>Dudley</t>
  </si>
  <si>
    <t>Mcpherson</t>
  </si>
  <si>
    <t>Beltran</t>
  </si>
  <si>
    <t>Dickson</t>
  </si>
  <si>
    <t>Mccann</t>
  </si>
  <si>
    <t>Villegas</t>
  </si>
  <si>
    <t>Proctor</t>
  </si>
  <si>
    <t>Hester</t>
  </si>
  <si>
    <t>Cantrell</t>
  </si>
  <si>
    <t>Daugherty</t>
  </si>
  <si>
    <t>Cherry</t>
  </si>
  <si>
    <t>Bray</t>
  </si>
  <si>
    <t>Davila</t>
  </si>
  <si>
    <t>Rowland</t>
  </si>
  <si>
    <t>Levine</t>
  </si>
  <si>
    <t>Madden</t>
  </si>
  <si>
    <t>Spence</t>
  </si>
  <si>
    <t>Good</t>
  </si>
  <si>
    <t>Irwin</t>
  </si>
  <si>
    <t>Krause</t>
  </si>
  <si>
    <t>Petty</t>
  </si>
  <si>
    <t>Baird</t>
  </si>
  <si>
    <t>Hooper</t>
  </si>
  <si>
    <t>Pollard</t>
  </si>
  <si>
    <t>Zavala</t>
  </si>
  <si>
    <t>Holden</t>
  </si>
  <si>
    <t>Haas</t>
  </si>
  <si>
    <t>Hendrix</t>
  </si>
  <si>
    <t>Mcgrath</t>
  </si>
  <si>
    <t>Bird</t>
  </si>
  <si>
    <t>Lucero</t>
  </si>
  <si>
    <t>Terrell</t>
  </si>
  <si>
    <t>Mercer</t>
  </si>
  <si>
    <t>Rollins</t>
  </si>
  <si>
    <t>Galloway</t>
  </si>
  <si>
    <t>Duke</t>
  </si>
  <si>
    <t>Odom</t>
  </si>
  <si>
    <t>Andersen</t>
  </si>
  <si>
    <t>Downs</t>
  </si>
  <si>
    <t>Hatfield</t>
  </si>
  <si>
    <t>Archer</t>
  </si>
  <si>
    <t>Huerta</t>
  </si>
  <si>
    <t>Travis</t>
  </si>
  <si>
    <t>Hinton</t>
  </si>
  <si>
    <t>Zhang</t>
  </si>
  <si>
    <t>Hays</t>
  </si>
  <si>
    <t>Mayo</t>
  </si>
  <si>
    <t>Fritz</t>
  </si>
  <si>
    <t>Branch</t>
  </si>
  <si>
    <t>Mooney</t>
  </si>
  <si>
    <t>Ritter</t>
  </si>
  <si>
    <t>Esparza</t>
  </si>
  <si>
    <t>Braun</t>
  </si>
  <si>
    <t>Gay</t>
  </si>
  <si>
    <t>Riddle</t>
  </si>
  <si>
    <t>Haney</t>
  </si>
  <si>
    <t>Kaiser</t>
  </si>
  <si>
    <t>Holder</t>
  </si>
  <si>
    <t>Chaney</t>
  </si>
  <si>
    <t>Mcknight</t>
  </si>
  <si>
    <t>Gamble</t>
  </si>
  <si>
    <t>Vang</t>
  </si>
  <si>
    <t>Cooley</t>
  </si>
  <si>
    <t>Carney</t>
  </si>
  <si>
    <t>Cowan</t>
  </si>
  <si>
    <t>Forbes</t>
  </si>
  <si>
    <t>Ferrell</t>
  </si>
  <si>
    <t>Davies</t>
  </si>
  <si>
    <t>Barajas</t>
  </si>
  <si>
    <t>Shea</t>
  </si>
  <si>
    <t>Osborn</t>
  </si>
  <si>
    <t>Bright</t>
  </si>
  <si>
    <t>Cuevas</t>
  </si>
  <si>
    <t>Murillo</t>
  </si>
  <si>
    <t>Lutz</t>
  </si>
  <si>
    <t>Duarte</t>
  </si>
  <si>
    <t>Kidd</t>
  </si>
  <si>
    <t>Key</t>
  </si>
  <si>
    <t>Cooke</t>
  </si>
  <si>
    <t>Goff</t>
  </si>
  <si>
    <t>Dejesus</t>
  </si>
  <si>
    <t>Marin</t>
  </si>
  <si>
    <t>Dotson</t>
  </si>
  <si>
    <t>Bonner</t>
  </si>
  <si>
    <t>Cotton</t>
  </si>
  <si>
    <t>Merrill</t>
  </si>
  <si>
    <t>Lindsay</t>
  </si>
  <si>
    <t>Lancaster</t>
  </si>
  <si>
    <t>Felix</t>
  </si>
  <si>
    <t>Salgado</t>
  </si>
  <si>
    <t>Slater</t>
  </si>
  <si>
    <t>Guthrie</t>
  </si>
  <si>
    <t>Holman</t>
  </si>
  <si>
    <t>Fulton</t>
  </si>
  <si>
    <t>Snider</t>
  </si>
  <si>
    <t>Sears</t>
  </si>
  <si>
    <t>Witt</t>
  </si>
  <si>
    <t>Newell</t>
  </si>
  <si>
    <t>Byers</t>
  </si>
  <si>
    <t>Gorman</t>
  </si>
  <si>
    <t>Costello</t>
  </si>
  <si>
    <t>Delaney</t>
  </si>
  <si>
    <t>Albert</t>
  </si>
  <si>
    <t>Workman</t>
  </si>
  <si>
    <t>Rosas</t>
  </si>
  <si>
    <t>Springer</t>
  </si>
  <si>
    <t>Justice</t>
  </si>
  <si>
    <t>Kinney</t>
  </si>
  <si>
    <t>Odell</t>
  </si>
  <si>
    <t>Donnelly</t>
  </si>
  <si>
    <t>Law</t>
  </si>
  <si>
    <t>Dailey</t>
  </si>
  <si>
    <t>Guevara</t>
  </si>
  <si>
    <t>Shoemaker</t>
  </si>
  <si>
    <t>Barlow</t>
  </si>
  <si>
    <t>Marino</t>
  </si>
  <si>
    <t>Winter</t>
  </si>
  <si>
    <t>Craft</t>
  </si>
  <si>
    <t>Katz</t>
  </si>
  <si>
    <t>Pickett</t>
  </si>
  <si>
    <t>Espinosa</t>
  </si>
  <si>
    <t>Daly</t>
  </si>
  <si>
    <t>Maloney</t>
  </si>
  <si>
    <t>Goldstein</t>
  </si>
  <si>
    <t>Crowley</t>
  </si>
  <si>
    <t>Vogel</t>
  </si>
  <si>
    <t>Kuhn</t>
  </si>
  <si>
    <t>Hartley</t>
  </si>
  <si>
    <t>Palacios</t>
  </si>
  <si>
    <t>Mcfadden</t>
  </si>
  <si>
    <t>Britt</t>
  </si>
  <si>
    <t>Wooten</t>
  </si>
  <si>
    <t>Cortes</t>
  </si>
  <si>
    <t>Dillard</t>
  </si>
  <si>
    <t>Childers</t>
  </si>
  <si>
    <t>Alford</t>
  </si>
  <si>
    <t>Dodd</t>
  </si>
  <si>
    <t>Wilder</t>
  </si>
  <si>
    <t>Lange</t>
  </si>
  <si>
    <t>Goldberg</t>
  </si>
  <si>
    <t>Quintero</t>
  </si>
  <si>
    <t>Beach</t>
  </si>
  <si>
    <t>Enriquez</t>
  </si>
  <si>
    <t>Helms</t>
  </si>
  <si>
    <t>Mackey</t>
  </si>
  <si>
    <t>Finch</t>
  </si>
  <si>
    <t>Cramer</t>
  </si>
  <si>
    <t>Minor</t>
  </si>
  <si>
    <t>Flanagan</t>
  </si>
  <si>
    <t>Franks</t>
  </si>
  <si>
    <t>Corona</t>
  </si>
  <si>
    <t>Kendall</t>
  </si>
  <si>
    <t>Mccabe</t>
  </si>
  <si>
    <t>Hendrickson</t>
  </si>
  <si>
    <t>Moser</t>
  </si>
  <si>
    <t>Mcdermott</t>
  </si>
  <si>
    <t>Camp</t>
  </si>
  <si>
    <t>Mcleod</t>
  </si>
  <si>
    <t>Bernal</t>
  </si>
  <si>
    <t>Kaplan</t>
  </si>
  <si>
    <t>Medrano</t>
  </si>
  <si>
    <t>Lugo</t>
  </si>
  <si>
    <t>Tracy</t>
  </si>
  <si>
    <t>Bacon</t>
  </si>
  <si>
    <t>Crowe</t>
  </si>
  <si>
    <t>Richter</t>
  </si>
  <si>
    <t>Holley</t>
  </si>
  <si>
    <t>Ratliff</t>
  </si>
  <si>
    <t>Mayfield</t>
  </si>
  <si>
    <t>Talley</t>
  </si>
  <si>
    <t>Haines</t>
  </si>
  <si>
    <t>Gibbons</t>
  </si>
  <si>
    <t>Hickey</t>
  </si>
  <si>
    <t>Kirkland</t>
  </si>
  <si>
    <t>Correa</t>
  </si>
  <si>
    <t>Tillman</t>
  </si>
  <si>
    <t>Sweet</t>
  </si>
  <si>
    <t>Kessler</t>
  </si>
  <si>
    <t>England</t>
  </si>
  <si>
    <t>Hewitt</t>
  </si>
  <si>
    <t>Blanco</t>
  </si>
  <si>
    <t>Connolly</t>
  </si>
  <si>
    <t>Pate</t>
  </si>
  <si>
    <t>Bruno</t>
  </si>
  <si>
    <t>Holcomb</t>
  </si>
  <si>
    <t>Hyde</t>
  </si>
  <si>
    <t>Mcallister</t>
  </si>
  <si>
    <t>Cash</t>
  </si>
  <si>
    <t>Christopher</t>
  </si>
  <si>
    <t>Whitfield</t>
  </si>
  <si>
    <t>Meeks</t>
  </si>
  <si>
    <t>Hatcher</t>
  </si>
  <si>
    <t>Fink</t>
  </si>
  <si>
    <t>Noel</t>
  </si>
  <si>
    <t>Ritchie</t>
  </si>
  <si>
    <t>Leal</t>
  </si>
  <si>
    <t>Joyner</t>
  </si>
  <si>
    <t>Morin</t>
  </si>
  <si>
    <t>Delarosa</t>
  </si>
  <si>
    <t>Connor</t>
  </si>
  <si>
    <t>Hilton</t>
  </si>
  <si>
    <t>Alston</t>
  </si>
  <si>
    <t>Gilliam</t>
  </si>
  <si>
    <t>Wynn</t>
  </si>
  <si>
    <t>Wills</t>
  </si>
  <si>
    <t>Jaramillo</t>
  </si>
  <si>
    <t>Oneil</t>
  </si>
  <si>
    <t>Nieves</t>
  </si>
  <si>
    <t>Britton</t>
  </si>
  <si>
    <t>Rankin</t>
  </si>
  <si>
    <t>Belcher</t>
  </si>
  <si>
    <t>Guy</t>
  </si>
  <si>
    <t>Chamberlain</t>
  </si>
  <si>
    <t>Tyson</t>
  </si>
  <si>
    <t>Puckett</t>
  </si>
  <si>
    <t>Downing</t>
  </si>
  <si>
    <t>Sharpe</t>
  </si>
  <si>
    <t>Boggs</t>
  </si>
  <si>
    <t>Truong</t>
  </si>
  <si>
    <t>Pierson</t>
  </si>
  <si>
    <t>Godfrey</t>
  </si>
  <si>
    <t>Mobley</t>
  </si>
  <si>
    <t>John</t>
  </si>
  <si>
    <t>Kern</t>
  </si>
  <si>
    <t>Dye</t>
  </si>
  <si>
    <t>Hollis</t>
  </si>
  <si>
    <t>Bravo</t>
  </si>
  <si>
    <t>Magana</t>
  </si>
  <si>
    <t>Ng</t>
  </si>
  <si>
    <t>Tuttle</t>
  </si>
  <si>
    <t>Lim</t>
  </si>
  <si>
    <t>Romano</t>
  </si>
  <si>
    <t>Arthur</t>
  </si>
  <si>
    <t>Trejo</t>
  </si>
  <si>
    <t>Knowles</t>
  </si>
  <si>
    <t>Lyon</t>
  </si>
  <si>
    <t>Shirley</t>
  </si>
  <si>
    <t>Quinones</t>
  </si>
  <si>
    <t>Childs</t>
  </si>
  <si>
    <t>Dolan</t>
  </si>
  <si>
    <t>Head</t>
  </si>
  <si>
    <t>Reyna</t>
  </si>
  <si>
    <t>Saenz</t>
  </si>
  <si>
    <t>Hastings</t>
  </si>
  <si>
    <t>Kenney</t>
  </si>
  <si>
    <t>Cano</t>
  </si>
  <si>
    <t>Denton</t>
  </si>
  <si>
    <t>Villalobos</t>
  </si>
  <si>
    <t>Pryor</t>
  </si>
  <si>
    <t>Sargent</t>
  </si>
  <si>
    <t>Doherty</t>
  </si>
  <si>
    <t>Hopper</t>
  </si>
  <si>
    <t>Phan</t>
  </si>
  <si>
    <t>Womack</t>
  </si>
  <si>
    <t>Ventura</t>
  </si>
  <si>
    <t>Dwyer</t>
  </si>
  <si>
    <t>Muller</t>
  </si>
  <si>
    <t>Galindo</t>
  </si>
  <si>
    <t>Sorensen</t>
  </si>
  <si>
    <t>Parra</t>
  </si>
  <si>
    <t>Rodrigues</t>
  </si>
  <si>
    <t>Nicholas</t>
  </si>
  <si>
    <t>Ahmed</t>
  </si>
  <si>
    <t>Mcginnis</t>
  </si>
  <si>
    <t>Langley</t>
  </si>
  <si>
    <t>Madison</t>
  </si>
  <si>
    <t>Jamison</t>
  </si>
  <si>
    <t>Nava</t>
  </si>
  <si>
    <t>Gustafson</t>
  </si>
  <si>
    <t>Sykes</t>
  </si>
  <si>
    <t>Dempsey</t>
  </si>
  <si>
    <t>Hamm</t>
  </si>
  <si>
    <t>Rodriquez</t>
  </si>
  <si>
    <t>Mcgill</t>
  </si>
  <si>
    <t>Xiong</t>
  </si>
  <si>
    <t>Esquivel</t>
  </si>
  <si>
    <t>Simms</t>
  </si>
  <si>
    <t>Kendrick</t>
  </si>
  <si>
    <t>Boyce</t>
  </si>
  <si>
    <t>Vigil</t>
  </si>
  <si>
    <t>Downey</t>
  </si>
  <si>
    <t>Mckenna</t>
  </si>
  <si>
    <t>Sierra</t>
  </si>
  <si>
    <t>Webber</t>
  </si>
  <si>
    <t>Kirkpatrick</t>
  </si>
  <si>
    <t>Dickinson</t>
  </si>
  <si>
    <t>Couch</t>
  </si>
  <si>
    <t>Burks</t>
  </si>
  <si>
    <t>Sheehan</t>
  </si>
  <si>
    <t>Slaughter</t>
  </si>
  <si>
    <t>Pike</t>
  </si>
  <si>
    <t>Whitley</t>
  </si>
  <si>
    <t>Magee</t>
  </si>
  <si>
    <t>Cheng</t>
  </si>
  <si>
    <t>Cassidy</t>
  </si>
  <si>
    <t>Rutledge</t>
  </si>
  <si>
    <t>Burris</t>
  </si>
  <si>
    <t>Bowling</t>
  </si>
  <si>
    <t>Crabtree</t>
  </si>
  <si>
    <t>Avalos</t>
  </si>
  <si>
    <t>Vu</t>
  </si>
  <si>
    <t>Herron</t>
  </si>
  <si>
    <t>Broussard</t>
  </si>
  <si>
    <t>Abraham</t>
  </si>
  <si>
    <t>Garland</t>
  </si>
  <si>
    <t>Corbett</t>
  </si>
  <si>
    <t>Corbin</t>
  </si>
  <si>
    <t>Stinson</t>
  </si>
  <si>
    <t>Chin</t>
  </si>
  <si>
    <t>Hutchins</t>
  </si>
  <si>
    <t>Woodruff</t>
  </si>
  <si>
    <t>Lau</t>
  </si>
  <si>
    <t>Brandon</t>
  </si>
  <si>
    <t>Singer</t>
  </si>
  <si>
    <t>Hatch</t>
  </si>
  <si>
    <t>Shafer</t>
  </si>
  <si>
    <t>Ott</t>
  </si>
  <si>
    <t>Goss</t>
  </si>
  <si>
    <t>Gregg</t>
  </si>
  <si>
    <t>Dewitt</t>
  </si>
  <si>
    <t>Tang</t>
  </si>
  <si>
    <t>Polk</t>
  </si>
  <si>
    <t>Worley</t>
  </si>
  <si>
    <t>Covington</t>
  </si>
  <si>
    <t>Saldana</t>
  </si>
  <si>
    <t>Heller</t>
  </si>
  <si>
    <t>Emery</t>
  </si>
  <si>
    <t>Cho</t>
  </si>
  <si>
    <t>Mccray</t>
  </si>
  <si>
    <t>Elmore</t>
  </si>
  <si>
    <t>Simons</t>
  </si>
  <si>
    <t>Clemons</t>
  </si>
  <si>
    <t>Beatty</t>
  </si>
  <si>
    <t>Harden</t>
  </si>
  <si>
    <t>Herbert</t>
  </si>
  <si>
    <t>Bland</t>
  </si>
  <si>
    <t>Rucker</t>
  </si>
  <si>
    <t>Manley</t>
  </si>
  <si>
    <t>Ziegler</t>
  </si>
  <si>
    <t>Grady</t>
  </si>
  <si>
    <t>Lott</t>
  </si>
  <si>
    <t>Rouse</t>
  </si>
  <si>
    <t>Gleason</t>
  </si>
  <si>
    <t>Mcclellan</t>
  </si>
  <si>
    <t>Abrams</t>
  </si>
  <si>
    <t>Vo</t>
  </si>
  <si>
    <t>Albright</t>
  </si>
  <si>
    <t>Dunbar</t>
  </si>
  <si>
    <t>Ackerman</t>
  </si>
  <si>
    <t>Padgett</t>
  </si>
  <si>
    <t>Mayes</t>
  </si>
  <si>
    <t>Tipton</t>
  </si>
  <si>
    <t>Coffman</t>
  </si>
  <si>
    <t>Peralta</t>
  </si>
  <si>
    <t>Roe</t>
  </si>
  <si>
    <t>Weston</t>
  </si>
  <si>
    <t>Plummer</t>
  </si>
  <si>
    <t>Helton</t>
  </si>
  <si>
    <t>Stern</t>
  </si>
  <si>
    <t>Fraser</t>
  </si>
  <si>
    <t>Stover</t>
  </si>
  <si>
    <t>Fish</t>
  </si>
  <si>
    <t>Schumacher</t>
  </si>
  <si>
    <t>Baca</t>
  </si>
  <si>
    <t>Curran</t>
  </si>
  <si>
    <t>Vinson</t>
  </si>
  <si>
    <t>Vera</t>
  </si>
  <si>
    <t>Clifton</t>
  </si>
  <si>
    <t>Ervin</t>
  </si>
  <si>
    <t>Lowry</t>
  </si>
  <si>
    <t>Childress</t>
  </si>
  <si>
    <t>Becerra</t>
  </si>
  <si>
    <t>Gore</t>
  </si>
  <si>
    <t>Seymour</t>
  </si>
  <si>
    <t>Chu</t>
  </si>
  <si>
    <t>Field</t>
  </si>
  <si>
    <t>Akers</t>
  </si>
  <si>
    <t>Carrasco</t>
  </si>
  <si>
    <t>Bingham</t>
  </si>
  <si>
    <t>Sterling</t>
  </si>
  <si>
    <t>Greenwood</t>
  </si>
  <si>
    <t>Leslie</t>
  </si>
  <si>
    <t>Groves</t>
  </si>
  <si>
    <t>Swain</t>
  </si>
  <si>
    <t>Edmonds</t>
  </si>
  <si>
    <t>Muniz</t>
  </si>
  <si>
    <t>Crouch</t>
  </si>
  <si>
    <t>Walden</t>
  </si>
  <si>
    <t>Smart</t>
  </si>
  <si>
    <t>Alfaro</t>
  </si>
  <si>
    <t>Quick</t>
  </si>
  <si>
    <t>Mcelroy</t>
  </si>
  <si>
    <t>Yarbrough</t>
  </si>
  <si>
    <t>Funk</t>
  </si>
  <si>
    <t>Hong</t>
  </si>
  <si>
    <t>Portillo</t>
  </si>
  <si>
    <t>Lund</t>
  </si>
  <si>
    <t>Ngo</t>
  </si>
  <si>
    <t>Elkins</t>
  </si>
  <si>
    <t>Stroud</t>
  </si>
  <si>
    <t>Meredith</t>
  </si>
  <si>
    <t>Battle</t>
  </si>
  <si>
    <t>Mccauley</t>
  </si>
  <si>
    <t>Zapata</t>
  </si>
  <si>
    <t>Gee</t>
  </si>
  <si>
    <t>Givens</t>
  </si>
  <si>
    <t>Cardona</t>
  </si>
  <si>
    <t>Schafer</t>
  </si>
  <si>
    <t>Robison</t>
  </si>
  <si>
    <t>Gunter</t>
  </si>
  <si>
    <t>Griggs</t>
  </si>
  <si>
    <t>Tovar</t>
  </si>
  <si>
    <t>Teague</t>
  </si>
  <si>
    <t>Swift</t>
  </si>
  <si>
    <t>Bowden</t>
  </si>
  <si>
    <t>Schulz</t>
  </si>
  <si>
    <t>Blanton</t>
  </si>
  <si>
    <t>Buckner</t>
  </si>
  <si>
    <t>Whalen</t>
  </si>
  <si>
    <t>Pritchard</t>
  </si>
  <si>
    <t>Pierre</t>
  </si>
  <si>
    <t>Kang</t>
  </si>
  <si>
    <t>Butts</t>
  </si>
  <si>
    <t>Metcalf</t>
  </si>
  <si>
    <t>Kurtz</t>
  </si>
  <si>
    <t>Sanderson</t>
  </si>
  <si>
    <t>Tompkins</t>
  </si>
  <si>
    <t>Inman</t>
  </si>
  <si>
    <t>Crowder</t>
  </si>
  <si>
    <t>Dickey</t>
  </si>
  <si>
    <t>Hutchison</t>
  </si>
  <si>
    <t>Conklin</t>
  </si>
  <si>
    <t>Hoskins</t>
  </si>
  <si>
    <t>Holbrook</t>
  </si>
  <si>
    <t>Horner</t>
  </si>
  <si>
    <t>Neely</t>
  </si>
  <si>
    <t>Tatum</t>
  </si>
  <si>
    <t>Hollingsworth</t>
  </si>
  <si>
    <t>Draper</t>
  </si>
  <si>
    <t>Clement</t>
  </si>
  <si>
    <t>Lord</t>
  </si>
  <si>
    <t>Reece</t>
  </si>
  <si>
    <t>Feldman</t>
  </si>
  <si>
    <t>Kay</t>
  </si>
  <si>
    <t>Hagen</t>
  </si>
  <si>
    <t>Crews</t>
  </si>
  <si>
    <t>Bowles</t>
  </si>
  <si>
    <t>Post</t>
  </si>
  <si>
    <t>Jewell</t>
  </si>
  <si>
    <t>Daley</t>
  </si>
  <si>
    <t>Cordero</t>
  </si>
  <si>
    <t>Mckinley</t>
  </si>
  <si>
    <t>Velasco</t>
  </si>
  <si>
    <t>Masters</t>
  </si>
  <si>
    <t>Driscoll</t>
  </si>
  <si>
    <t>Burrell</t>
  </si>
  <si>
    <t>Valle</t>
  </si>
  <si>
    <t>Crow</t>
  </si>
  <si>
    <t>Devine</t>
  </si>
  <si>
    <t>Larkin</t>
  </si>
  <si>
    <t>Chappell</t>
  </si>
  <si>
    <t>Pollock</t>
  </si>
  <si>
    <t>Kimball</t>
  </si>
  <si>
    <t>Ly</t>
  </si>
  <si>
    <t>Schmitz</t>
  </si>
  <si>
    <t>Lu</t>
  </si>
  <si>
    <t>Rubin</t>
  </si>
  <si>
    <t>Self</t>
  </si>
  <si>
    <t>Barrios</t>
  </si>
  <si>
    <t>Pereira</t>
  </si>
  <si>
    <t>Phipps</t>
  </si>
  <si>
    <t>Mcmanus</t>
  </si>
  <si>
    <t>Nance</t>
  </si>
  <si>
    <t>Steiner</t>
  </si>
  <si>
    <t>Crockett</t>
  </si>
  <si>
    <t>Jeffries</t>
  </si>
  <si>
    <t>Nix</t>
  </si>
  <si>
    <t>Newsome</t>
  </si>
  <si>
    <t>Dooley</t>
  </si>
  <si>
    <t>Rosen</t>
  </si>
  <si>
    <t>Swenson</t>
  </si>
  <si>
    <t>Connelly</t>
  </si>
  <si>
    <t>Tolbert</t>
  </si>
  <si>
    <t>Segura</t>
  </si>
  <si>
    <t>Esposito</t>
  </si>
  <si>
    <t>Coker</t>
  </si>
  <si>
    <t>Biggs</t>
  </si>
  <si>
    <t>Hinkle</t>
  </si>
  <si>
    <t>Thurman</t>
  </si>
  <si>
    <t>Drew</t>
  </si>
  <si>
    <t>Ivey</t>
  </si>
  <si>
    <t>Bullard</t>
  </si>
  <si>
    <t>Baez</t>
  </si>
  <si>
    <t>Neff</t>
  </si>
  <si>
    <t>Maher</t>
  </si>
  <si>
    <t>Stratton</t>
  </si>
  <si>
    <t>Egan</t>
  </si>
  <si>
    <t>Dubois</t>
  </si>
  <si>
    <t>Gallardo</t>
  </si>
  <si>
    <t>Blue</t>
  </si>
  <si>
    <t>Rainey</t>
  </si>
  <si>
    <t>Yeager</t>
  </si>
  <si>
    <t>Saucedo</t>
  </si>
  <si>
    <t>Ferreira</t>
  </si>
  <si>
    <t>Sprague</t>
  </si>
  <si>
    <t>Lacy</t>
  </si>
  <si>
    <t>Hurtado</t>
  </si>
  <si>
    <t>Heard</t>
  </si>
  <si>
    <t>Connell</t>
  </si>
  <si>
    <t>Stahl</t>
  </si>
  <si>
    <t>Aldridge</t>
  </si>
  <si>
    <t>Amaya</t>
  </si>
  <si>
    <t>Forrest</t>
  </si>
  <si>
    <t>Erwin</t>
  </si>
  <si>
    <t>Gunn</t>
  </si>
  <si>
    <t>Swan</t>
  </si>
  <si>
    <t>Butcher</t>
  </si>
  <si>
    <t>Rosado</t>
  </si>
  <si>
    <t>Godwin</t>
  </si>
  <si>
    <t>Hand</t>
  </si>
  <si>
    <t>Gabriel</t>
  </si>
  <si>
    <t>Whaley</t>
  </si>
  <si>
    <t>Clifford</t>
  </si>
  <si>
    <t>Grove</t>
  </si>
  <si>
    <t>Beaver</t>
  </si>
  <si>
    <t>Silver</t>
  </si>
  <si>
    <t>Dang</t>
  </si>
  <si>
    <t>Hammer</t>
  </si>
  <si>
    <t>Boswell</t>
  </si>
  <si>
    <t>Mead</t>
  </si>
  <si>
    <t>Colvin</t>
  </si>
  <si>
    <t>Oleary</t>
  </si>
  <si>
    <t>Milligan</t>
  </si>
  <si>
    <t>Goins</t>
  </si>
  <si>
    <t>Dodge</t>
  </si>
  <si>
    <t>Kaur</t>
  </si>
  <si>
    <t>Escobedo</t>
  </si>
  <si>
    <t>Arredondo</t>
  </si>
  <si>
    <t>Geiger</t>
  </si>
  <si>
    <t>Winkler</t>
  </si>
  <si>
    <t>Dunham</t>
  </si>
  <si>
    <t>Temple</t>
  </si>
  <si>
    <t>Babcock</t>
  </si>
  <si>
    <t>Grimm</t>
  </si>
  <si>
    <t>Lilly</t>
  </si>
  <si>
    <t>Wesley</t>
  </si>
  <si>
    <t>Mcghee</t>
  </si>
  <si>
    <t>Painter</t>
  </si>
  <si>
    <t>Siegel</t>
  </si>
  <si>
    <t>Bower</t>
  </si>
  <si>
    <t>Purcell</t>
  </si>
  <si>
    <t>Block</t>
  </si>
  <si>
    <t>Aguilera</t>
  </si>
  <si>
    <t>Norwood</t>
  </si>
  <si>
    <t>Sheridan</t>
  </si>
  <si>
    <t>Davison</t>
  </si>
  <si>
    <t>Ramey</t>
  </si>
  <si>
    <t>Koenig</t>
  </si>
  <si>
    <t>Kraft</t>
  </si>
  <si>
    <t>Bunch</t>
  </si>
  <si>
    <t>Engel</t>
  </si>
  <si>
    <t>Tan</t>
  </si>
  <si>
    <t>Winn</t>
  </si>
  <si>
    <t>Steward</t>
  </si>
  <si>
    <t>Link</t>
  </si>
  <si>
    <t>Vickers</t>
  </si>
  <si>
    <t>Bragg</t>
  </si>
  <si>
    <t>Huggins</t>
  </si>
  <si>
    <t>Michel</t>
  </si>
  <si>
    <t>Healy</t>
  </si>
  <si>
    <t>Jacob</t>
  </si>
  <si>
    <t>Mcdonough</t>
  </si>
  <si>
    <t>Wolff</t>
  </si>
  <si>
    <t>Colbert</t>
  </si>
  <si>
    <t>Zepeda</t>
  </si>
  <si>
    <t>Hoang</t>
  </si>
  <si>
    <t>Dugan</t>
  </si>
  <si>
    <t>Kilgore</t>
  </si>
  <si>
    <t>Meade</t>
  </si>
  <si>
    <t>Guillen</t>
  </si>
  <si>
    <t>Do</t>
  </si>
  <si>
    <t>Hinojosa</t>
  </si>
  <si>
    <t>Goode</t>
  </si>
  <si>
    <t>Arrington</t>
  </si>
  <si>
    <t>Snell</t>
  </si>
  <si>
    <t>Renteria</t>
  </si>
  <si>
    <t>Chacon</t>
  </si>
  <si>
    <t>Hankins</t>
  </si>
  <si>
    <t>Montano</t>
  </si>
  <si>
    <t>Browne</t>
  </si>
  <si>
    <t>Ohara</t>
  </si>
  <si>
    <t>Cornell</t>
  </si>
  <si>
    <t>Sherwood</t>
  </si>
  <si>
    <t>Castellanos</t>
  </si>
  <si>
    <t>Thorpe</t>
  </si>
  <si>
    <t>Stiles</t>
  </si>
  <si>
    <t>Sadler</t>
  </si>
  <si>
    <t>Latham</t>
  </si>
  <si>
    <t>Redmond</t>
  </si>
  <si>
    <t>Greenberg</t>
  </si>
  <si>
    <t>Cote</t>
  </si>
  <si>
    <t>Waddell</t>
  </si>
  <si>
    <t>Dukes</t>
  </si>
  <si>
    <t>Diamond</t>
  </si>
  <si>
    <t>Bui</t>
  </si>
  <si>
    <t>Madrid</t>
  </si>
  <si>
    <t>Alonso</t>
  </si>
  <si>
    <t>Sheets</t>
  </si>
  <si>
    <t>Irvin</t>
  </si>
  <si>
    <t>Hurt</t>
  </si>
  <si>
    <t>Ferris</t>
  </si>
  <si>
    <t>Sewell</t>
  </si>
  <si>
    <t>Carlton</t>
  </si>
  <si>
    <t>Aragon</t>
  </si>
  <si>
    <t>Blackmon</t>
  </si>
  <si>
    <t>Hadley</t>
  </si>
  <si>
    <t>Hoyt</t>
  </si>
  <si>
    <t>Mcgraw</t>
  </si>
  <si>
    <t>Pagan</t>
  </si>
  <si>
    <t>Land</t>
  </si>
  <si>
    <t>Tidwell</t>
  </si>
  <si>
    <t>Lovell</t>
  </si>
  <si>
    <t>Miner</t>
  </si>
  <si>
    <t>Doss</t>
  </si>
  <si>
    <t>Dahl</t>
  </si>
  <si>
    <t>Delatorre</t>
  </si>
  <si>
    <t>Stanford</t>
  </si>
  <si>
    <t>Kauffman</t>
  </si>
  <si>
    <t>Vela</t>
  </si>
  <si>
    <t>Gagnon</t>
  </si>
  <si>
    <t>Winston</t>
  </si>
  <si>
    <t>Gomes</t>
  </si>
  <si>
    <t>Thacker</t>
  </si>
  <si>
    <t>Coronado</t>
  </si>
  <si>
    <t>Ash</t>
  </si>
  <si>
    <t>Jarrett</t>
  </si>
  <si>
    <t>Hager</t>
  </si>
  <si>
    <t>Samuels</t>
  </si>
  <si>
    <t>Metzger</t>
  </si>
  <si>
    <t>Raines</t>
  </si>
  <si>
    <t>Spivey</t>
  </si>
  <si>
    <t>Maurer</t>
  </si>
  <si>
    <t>Han</t>
  </si>
  <si>
    <t>Voss</t>
  </si>
  <si>
    <t>Henley</t>
  </si>
  <si>
    <t>Caballero</t>
  </si>
  <si>
    <t>Coulter</t>
  </si>
  <si>
    <t>North</t>
  </si>
  <si>
    <t>Finn</t>
  </si>
  <si>
    <t>Cahill</t>
  </si>
  <si>
    <t>Lanier</t>
  </si>
  <si>
    <t>Souza</t>
  </si>
  <si>
    <t>Mcwilliams</t>
  </si>
  <si>
    <t>Deal</t>
  </si>
  <si>
    <t>Schaffer</t>
  </si>
  <si>
    <t>Urban</t>
  </si>
  <si>
    <t>Houser</t>
  </si>
  <si>
    <t>Romo</t>
  </si>
  <si>
    <t>Crocker</t>
  </si>
  <si>
    <t>Bassett</t>
  </si>
  <si>
    <t>Kruse</t>
  </si>
  <si>
    <t>Bolden</t>
  </si>
  <si>
    <t>Ybarra</t>
  </si>
  <si>
    <t>Metz</t>
  </si>
  <si>
    <t>Root</t>
  </si>
  <si>
    <t>Mcmullen</t>
  </si>
  <si>
    <t>Crump</t>
  </si>
  <si>
    <t>Hagan</t>
  </si>
  <si>
    <t>Guidry</t>
  </si>
  <si>
    <t>Brantley</t>
  </si>
  <si>
    <t>Kearney</t>
  </si>
  <si>
    <t>Beal</t>
  </si>
  <si>
    <t>Toth</t>
  </si>
  <si>
    <t>Jorgensen</t>
  </si>
  <si>
    <t>Timmons</t>
  </si>
  <si>
    <t>Milton</t>
  </si>
  <si>
    <t>Tripp</t>
  </si>
  <si>
    <t>Hurd</t>
  </si>
  <si>
    <t>Sapp</t>
  </si>
  <si>
    <t>Whitman</t>
  </si>
  <si>
    <t>Messer</t>
  </si>
  <si>
    <t>Burgos</t>
  </si>
  <si>
    <t>Major</t>
  </si>
  <si>
    <t>Westbrook</t>
  </si>
  <si>
    <t>Castle</t>
  </si>
  <si>
    <t>Serna</t>
  </si>
  <si>
    <t>Carlisle</t>
  </si>
  <si>
    <t>Varela</t>
  </si>
  <si>
    <t>Cullen</t>
  </si>
  <si>
    <t>Wilhelm</t>
  </si>
  <si>
    <t>Bergeron</t>
  </si>
  <si>
    <t>Burger</t>
  </si>
  <si>
    <t>Posey</t>
  </si>
  <si>
    <t>Barnhart</t>
  </si>
  <si>
    <t>Hackett</t>
  </si>
  <si>
    <t>Madrigal</t>
  </si>
  <si>
    <t>Eubanks</t>
  </si>
  <si>
    <t>Sizemore</t>
  </si>
  <si>
    <t>Hilliard</t>
  </si>
  <si>
    <t>Hargrove</t>
  </si>
  <si>
    <t>Boucher</t>
  </si>
  <si>
    <t>Thomason</t>
  </si>
  <si>
    <t>Melvin</t>
  </si>
  <si>
    <t>Roper</t>
  </si>
  <si>
    <t>Barnard</t>
  </si>
  <si>
    <t>Fonseca</t>
  </si>
  <si>
    <t>Pedersen</t>
  </si>
  <si>
    <t>Quiroz</t>
  </si>
  <si>
    <t>Washburn</t>
  </si>
  <si>
    <t>Holliday</t>
  </si>
  <si>
    <t>Yee</t>
  </si>
  <si>
    <t>Rudolph</t>
  </si>
  <si>
    <t>Bermudez</t>
  </si>
  <si>
    <t>Coyle</t>
  </si>
  <si>
    <t>Gil</t>
  </si>
  <si>
    <t>Goodrich</t>
  </si>
  <si>
    <t>Pina</t>
  </si>
  <si>
    <t>Lockwood</t>
  </si>
  <si>
    <t>Cabral</t>
  </si>
  <si>
    <t>Carranza</t>
  </si>
  <si>
    <t>Cornelius</t>
  </si>
  <si>
    <t>Mccollum</t>
  </si>
  <si>
    <t>Street</t>
  </si>
  <si>
    <t>Mcneal</t>
  </si>
  <si>
    <t>Connors</t>
  </si>
  <si>
    <t>Angel</t>
  </si>
  <si>
    <t>Paulson</t>
  </si>
  <si>
    <t>Hinson</t>
  </si>
  <si>
    <t>Keenan</t>
  </si>
  <si>
    <t>Sheldon</t>
  </si>
  <si>
    <t>Farr</t>
  </si>
  <si>
    <t>Eddy</t>
  </si>
  <si>
    <t>Samuel</t>
  </si>
  <si>
    <t>Ledbetter</t>
  </si>
  <si>
    <t>Ring</t>
  </si>
  <si>
    <t>Betts</t>
  </si>
  <si>
    <t>Fontenot</t>
  </si>
  <si>
    <t>Gifford</t>
  </si>
  <si>
    <t>Hannah</t>
  </si>
  <si>
    <t>Hanley</t>
  </si>
  <si>
    <t>Person</t>
  </si>
  <si>
    <t>Fountain</t>
  </si>
  <si>
    <t>Levin</t>
  </si>
  <si>
    <t>Stubbs</t>
  </si>
  <si>
    <t>Hightower</t>
  </si>
  <si>
    <t>Murdock</t>
  </si>
  <si>
    <t>Koehler</t>
  </si>
  <si>
    <t>Ma</t>
  </si>
  <si>
    <t>Engle</t>
  </si>
  <si>
    <t>Smiley</t>
  </si>
  <si>
    <t>Sheffield</t>
  </si>
  <si>
    <t>Langston</t>
  </si>
  <si>
    <t>Mccracken</t>
  </si>
  <si>
    <t>Yost</t>
  </si>
  <si>
    <t>Trotter</t>
  </si>
  <si>
    <t>Story</t>
  </si>
  <si>
    <t>Starks</t>
  </si>
  <si>
    <t>Lujan</t>
  </si>
  <si>
    <t>Blount</t>
  </si>
  <si>
    <t>Cody</t>
  </si>
  <si>
    <t>Rushing</t>
  </si>
  <si>
    <t>Herndon</t>
  </si>
  <si>
    <t>Jacobsen</t>
  </si>
  <si>
    <t>Nieto</t>
  </si>
  <si>
    <t>Wiseman</t>
  </si>
  <si>
    <t>Layton</t>
  </si>
  <si>
    <t>Shipley</t>
  </si>
  <si>
    <t>Leyva</t>
  </si>
  <si>
    <t>Reeder</t>
  </si>
  <si>
    <t>Brand</t>
  </si>
  <si>
    <t>Roland</t>
  </si>
  <si>
    <t>Fitch</t>
  </si>
  <si>
    <t>Rico</t>
  </si>
  <si>
    <t>Napier</t>
  </si>
  <si>
    <t>Cronin</t>
  </si>
  <si>
    <t>Mcqueen</t>
  </si>
  <si>
    <t>Paredes</t>
  </si>
  <si>
    <t>Trent</t>
  </si>
  <si>
    <t>Christiansen</t>
  </si>
  <si>
    <t>Pettit</t>
  </si>
  <si>
    <t>Spangler</t>
  </si>
  <si>
    <t>Langford</t>
  </si>
  <si>
    <t>Benavides</t>
  </si>
  <si>
    <t>Penn</t>
  </si>
  <si>
    <t>Weir</t>
  </si>
  <si>
    <t>Dietz</t>
  </si>
  <si>
    <t>Prater</t>
  </si>
  <si>
    <t>Diehl</t>
  </si>
  <si>
    <t>Pack</t>
  </si>
  <si>
    <t>Spaulding</t>
  </si>
  <si>
    <t>Aviles</t>
  </si>
  <si>
    <t>Nowak</t>
  </si>
  <si>
    <t>Olvera</t>
  </si>
  <si>
    <t>Rock</t>
  </si>
  <si>
    <t>Mansfield</t>
  </si>
  <si>
    <t>Aquino</t>
  </si>
  <si>
    <t>Ogden</t>
  </si>
  <si>
    <t>Stacy</t>
  </si>
  <si>
    <t>Rizzo</t>
  </si>
  <si>
    <t>Gillis</t>
  </si>
  <si>
    <t>Sands</t>
  </si>
  <si>
    <t>Machado</t>
  </si>
  <si>
    <t>Lovett</t>
  </si>
  <si>
    <t>Duong</t>
  </si>
  <si>
    <t>Hyatt</t>
  </si>
  <si>
    <t>Landis</t>
  </si>
  <si>
    <t>Platt</t>
  </si>
  <si>
    <t>Bustamante</t>
  </si>
  <si>
    <t>Hedrick</t>
  </si>
  <si>
    <t>Pritchett</t>
  </si>
  <si>
    <t>Gaston</t>
  </si>
  <si>
    <t>Dobson</t>
  </si>
  <si>
    <t>Caudill</t>
  </si>
  <si>
    <t>Tackett</t>
  </si>
  <si>
    <t>Bateman</t>
  </si>
  <si>
    <t>Landers</t>
  </si>
  <si>
    <t>Carmona</t>
  </si>
  <si>
    <t>Gipson</t>
  </si>
  <si>
    <t>Uribe</t>
  </si>
  <si>
    <t>Mcneill</t>
  </si>
  <si>
    <t>Ledford</t>
  </si>
  <si>
    <t>Mims</t>
  </si>
  <si>
    <t>Abel</t>
  </si>
  <si>
    <t>Smallwood</t>
  </si>
  <si>
    <t>Thorne</t>
  </si>
  <si>
    <t>Mchugh</t>
  </si>
  <si>
    <t>Dickens</t>
  </si>
  <si>
    <t>Leung</t>
  </si>
  <si>
    <t>Tobin</t>
  </si>
  <si>
    <t>Medeiros</t>
  </si>
  <si>
    <t>Cope</t>
  </si>
  <si>
    <t>Kraus</t>
  </si>
  <si>
    <t>Quezada</t>
  </si>
  <si>
    <t>Overton</t>
  </si>
  <si>
    <t>Montalvo</t>
  </si>
  <si>
    <t>Staley</t>
  </si>
  <si>
    <t>Woody</t>
  </si>
  <si>
    <t>Hathaway</t>
  </si>
  <si>
    <t>Osorio</t>
  </si>
  <si>
    <t>Laird</t>
  </si>
  <si>
    <t>Capps</t>
  </si>
  <si>
    <t>Lay</t>
  </si>
  <si>
    <t>Francisco</t>
  </si>
  <si>
    <t>Adair</t>
  </si>
  <si>
    <t>Bernstein</t>
  </si>
  <si>
    <t>Hutton</t>
  </si>
  <si>
    <t>Burkett</t>
  </si>
  <si>
    <t>Rhoades</t>
  </si>
  <si>
    <t>Richey</t>
  </si>
  <si>
    <t>Yanez</t>
  </si>
  <si>
    <t>Bledsoe</t>
  </si>
  <si>
    <t>Mccain</t>
  </si>
  <si>
    <t>Beyer</t>
  </si>
  <si>
    <t>Cates</t>
  </si>
  <si>
    <t>Roche</t>
  </si>
  <si>
    <t>Spicer</t>
  </si>
  <si>
    <t>Queen</t>
  </si>
  <si>
    <t>Doty</t>
  </si>
  <si>
    <t>Darling</t>
  </si>
  <si>
    <t>Darby</t>
  </si>
  <si>
    <t>Sumner</t>
  </si>
  <si>
    <t>Kincaid</t>
  </si>
  <si>
    <t>Hay</t>
  </si>
  <si>
    <t>Grossman</t>
  </si>
  <si>
    <t>Lacey</t>
  </si>
  <si>
    <t>Wilkes</t>
  </si>
  <si>
    <t>Humphries</t>
  </si>
  <si>
    <t>Paz</t>
  </si>
  <si>
    <t>Darnell</t>
  </si>
  <si>
    <t>Keys</t>
  </si>
  <si>
    <t>Lackey</t>
  </si>
  <si>
    <t>Vogt</t>
  </si>
  <si>
    <t>Locklear</t>
  </si>
  <si>
    <t>Kiser</t>
  </si>
  <si>
    <t>Presley</t>
  </si>
  <si>
    <t>Bryson</t>
  </si>
  <si>
    <t>Peoples</t>
  </si>
  <si>
    <t>Fair</t>
  </si>
  <si>
    <t>Mcclendon</t>
  </si>
  <si>
    <t>Corley</t>
  </si>
  <si>
    <t>Prado</t>
  </si>
  <si>
    <t>Christie</t>
  </si>
  <si>
    <t>Delong</t>
  </si>
  <si>
    <t>Skaggs</t>
  </si>
  <si>
    <t>Dill</t>
  </si>
  <si>
    <t>Shearer</t>
  </si>
  <si>
    <t>Judd</t>
  </si>
  <si>
    <t>Flaherty</t>
  </si>
  <si>
    <t>Casillas</t>
  </si>
  <si>
    <t>Pinto</t>
  </si>
  <si>
    <t>Haywood</t>
  </si>
  <si>
    <t>Toney</t>
  </si>
  <si>
    <t>Ricks</t>
  </si>
  <si>
    <t>Granados</t>
  </si>
  <si>
    <t>Crum</t>
  </si>
  <si>
    <t>Triplett</t>
  </si>
  <si>
    <t>Soriano</t>
  </si>
  <si>
    <t>Waite</t>
  </si>
  <si>
    <t>Hoff</t>
  </si>
  <si>
    <t>Anaya</t>
  </si>
  <si>
    <t>Crenshaw</t>
  </si>
  <si>
    <t>Jung</t>
  </si>
  <si>
    <t>Canales</t>
  </si>
  <si>
    <t>Cagle</t>
  </si>
  <si>
    <t>Denny</t>
  </si>
  <si>
    <t>Marcus</t>
  </si>
  <si>
    <t>Berman</t>
  </si>
  <si>
    <t>Munson</t>
  </si>
  <si>
    <t>Ocampo</t>
  </si>
  <si>
    <t>Bauman</t>
  </si>
  <si>
    <t>Corcoran</t>
  </si>
  <si>
    <t>Keen</t>
  </si>
  <si>
    <t>Zimmer</t>
  </si>
  <si>
    <t>Friend</t>
  </si>
  <si>
    <t>Ornelas</t>
  </si>
  <si>
    <t>Varner</t>
  </si>
  <si>
    <t>Pelletier</t>
  </si>
  <si>
    <t>Vernon</t>
  </si>
  <si>
    <t>Blum</t>
  </si>
  <si>
    <t>Albrecht</t>
  </si>
  <si>
    <t>Culver</t>
  </si>
  <si>
    <t>Schuster</t>
  </si>
  <si>
    <t>Cuellar</t>
  </si>
  <si>
    <t>Mccord</t>
  </si>
  <si>
    <t>Shultz</t>
  </si>
  <si>
    <t>Mcrae</t>
  </si>
  <si>
    <t>Moreland</t>
  </si>
  <si>
    <t>Calvert</t>
  </si>
  <si>
    <t>Whittington</t>
  </si>
  <si>
    <t>Eckert</t>
  </si>
  <si>
    <t>Keene</t>
  </si>
  <si>
    <t>Mohr</t>
  </si>
  <si>
    <t>Hanks</t>
  </si>
  <si>
    <t>Kimble</t>
  </si>
  <si>
    <t>Cavanaugh</t>
  </si>
  <si>
    <t>Crowell</t>
  </si>
  <si>
    <t>Russ</t>
  </si>
  <si>
    <t>Feliciano</t>
  </si>
  <si>
    <t>Crain</t>
  </si>
  <si>
    <t>Busch</t>
  </si>
  <si>
    <t>Mccormack</t>
  </si>
  <si>
    <t>Omalley</t>
  </si>
  <si>
    <t>Aldrich</t>
  </si>
  <si>
    <t>Luke</t>
  </si>
  <si>
    <t>Greco</t>
  </si>
  <si>
    <t>Mott</t>
  </si>
  <si>
    <t>Oakes</t>
  </si>
  <si>
    <t>Mclain</t>
  </si>
  <si>
    <t>Burrows</t>
  </si>
  <si>
    <t>Otero</t>
  </si>
  <si>
    <t>Allred</t>
  </si>
  <si>
    <t>Eason</t>
  </si>
  <si>
    <t>Finney</t>
  </si>
  <si>
    <t>Weller</t>
  </si>
  <si>
    <t>Waldron</t>
  </si>
  <si>
    <t>Champion</t>
  </si>
  <si>
    <t>Jeffers</t>
  </si>
  <si>
    <t>Coon</t>
  </si>
  <si>
    <t>Rosenthal</t>
  </si>
  <si>
    <t>Huddleston</t>
  </si>
  <si>
    <t>Solano</t>
  </si>
  <si>
    <t>Hirsch</t>
  </si>
  <si>
    <t>Akins</t>
  </si>
  <si>
    <t>Olivares</t>
  </si>
  <si>
    <t>Song</t>
  </si>
  <si>
    <t>Sneed</t>
  </si>
  <si>
    <t>Bain</t>
  </si>
  <si>
    <t>Okeefe</t>
  </si>
  <si>
    <t>Hidalgo</t>
  </si>
  <si>
    <t>Matos</t>
  </si>
  <si>
    <t>Stallings</t>
  </si>
  <si>
    <t>Paris</t>
  </si>
  <si>
    <t>Gamez</t>
  </si>
  <si>
    <t>Kenny</t>
  </si>
  <si>
    <t>Quigley</t>
  </si>
  <si>
    <t>Marrero</t>
  </si>
  <si>
    <t>Fagan</t>
  </si>
  <si>
    <t>Dutton</t>
  </si>
  <si>
    <t>Atwood</t>
  </si>
  <si>
    <t>Pappas</t>
  </si>
  <si>
    <t>Bagley</t>
  </si>
  <si>
    <t>Mcgovern</t>
  </si>
  <si>
    <t>Lunsford</t>
  </si>
  <si>
    <t>Moseley</t>
  </si>
  <si>
    <t>Read</t>
  </si>
  <si>
    <t>Oakley</t>
  </si>
  <si>
    <t>Ashby</t>
  </si>
  <si>
    <t>Granger</t>
  </si>
  <si>
    <t>Shaver</t>
  </si>
  <si>
    <t>Hope</t>
  </si>
  <si>
    <t>Helm</t>
  </si>
  <si>
    <t>Ambrose</t>
  </si>
  <si>
    <t>Neumann</t>
  </si>
  <si>
    <t>Prescott</t>
  </si>
  <si>
    <t>Light</t>
  </si>
  <si>
    <t>Dumas</t>
  </si>
  <si>
    <t>Flood</t>
  </si>
  <si>
    <t>Stringer</t>
  </si>
  <si>
    <t>Currie</t>
  </si>
  <si>
    <t>Geralyn</t>
  </si>
  <si>
    <t>Marina</t>
  </si>
  <si>
    <t>Lorita</t>
  </si>
  <si>
    <t>Tarah</t>
  </si>
  <si>
    <t>Krysta</t>
  </si>
  <si>
    <t>Janey</t>
  </si>
  <si>
    <t>Olene</t>
  </si>
  <si>
    <t>Magdalena</t>
  </si>
  <si>
    <t>Hilda</t>
  </si>
  <si>
    <t>Almeta</t>
  </si>
  <si>
    <t>Yoshie</t>
  </si>
  <si>
    <t>Shanelle</t>
  </si>
  <si>
    <t>Seema</t>
  </si>
  <si>
    <t>Caroll</t>
  </si>
  <si>
    <t>Barbera</t>
  </si>
  <si>
    <t>Verena</t>
  </si>
  <si>
    <t>Audria</t>
  </si>
  <si>
    <t>Chieko</t>
  </si>
  <si>
    <t>Maple</t>
  </si>
  <si>
    <t>Nila</t>
  </si>
  <si>
    <t>Mitsue</t>
  </si>
  <si>
    <t>Nanette</t>
  </si>
  <si>
    <t>Myrna</t>
  </si>
  <si>
    <t>Verlie</t>
  </si>
  <si>
    <t>Leana</t>
  </si>
  <si>
    <t>Desiree</t>
  </si>
  <si>
    <t>Christinia</t>
  </si>
  <si>
    <t>Trinity</t>
  </si>
  <si>
    <t>Maryjane</t>
  </si>
  <si>
    <t>Florentina</t>
  </si>
  <si>
    <t>Florrie</t>
  </si>
  <si>
    <t>Liberty</t>
  </si>
  <si>
    <t>So</t>
  </si>
  <si>
    <t>Eleonora</t>
  </si>
  <si>
    <t>Blanch</t>
  </si>
  <si>
    <t>Lavon</t>
  </si>
  <si>
    <t>Novella</t>
  </si>
  <si>
    <t>Eryn</t>
  </si>
  <si>
    <t>Farah</t>
  </si>
  <si>
    <t>Gregoria</t>
  </si>
  <si>
    <t>Jin</t>
  </si>
  <si>
    <t>Lavada</t>
  </si>
  <si>
    <t>Georgeann</t>
  </si>
  <si>
    <t>Clare</t>
  </si>
  <si>
    <t>Verlene</t>
  </si>
  <si>
    <t>Agustina</t>
  </si>
  <si>
    <t>Kimiko</t>
  </si>
  <si>
    <t>Melanie</t>
  </si>
  <si>
    <t>Terese</t>
  </si>
  <si>
    <t>Kary</t>
  </si>
  <si>
    <t>Joeann</t>
  </si>
  <si>
    <t>Sheilah</t>
  </si>
  <si>
    <t>Xiao</t>
  </si>
  <si>
    <t>Drusilla</t>
  </si>
  <si>
    <t>Eartha</t>
  </si>
  <si>
    <t>Babette</t>
  </si>
  <si>
    <t>Melisa</t>
  </si>
  <si>
    <t>Shawnda</t>
  </si>
  <si>
    <t>Fidelia</t>
  </si>
  <si>
    <t>Shellie</t>
  </si>
  <si>
    <t>Armida</t>
  </si>
  <si>
    <t>Bernardine</t>
  </si>
  <si>
    <t>Carolina</t>
  </si>
  <si>
    <t>Cherish</t>
  </si>
  <si>
    <t>Maryanne</t>
  </si>
  <si>
    <t>Matilde</t>
  </si>
  <si>
    <t>Hilma</t>
  </si>
  <si>
    <t>Kayleen</t>
  </si>
  <si>
    <t>Annamaria</t>
  </si>
  <si>
    <t>Calandra</t>
  </si>
  <si>
    <t>Loretta</t>
  </si>
  <si>
    <t>Lorie</t>
  </si>
  <si>
    <t>Leann</t>
  </si>
  <si>
    <t>Vicky</t>
  </si>
  <si>
    <t>Crissy</t>
  </si>
  <si>
    <t>Yaeko</t>
  </si>
  <si>
    <t>Delora</t>
  </si>
  <si>
    <t>Zora</t>
  </si>
  <si>
    <t>Jenine</t>
  </si>
  <si>
    <t>Nerissa</t>
  </si>
  <si>
    <t>Anh</t>
  </si>
  <si>
    <t>Lenora</t>
  </si>
  <si>
    <t>Belia</t>
  </si>
  <si>
    <t>Aline</t>
  </si>
  <si>
    <t>Hermila</t>
  </si>
  <si>
    <t>Kimberli</t>
  </si>
  <si>
    <t>Deonna</t>
  </si>
  <si>
    <t>Andria</t>
  </si>
  <si>
    <t>Donna</t>
  </si>
  <si>
    <t>Joycelyn</t>
  </si>
  <si>
    <t>Yasuko</t>
  </si>
  <si>
    <t>Goldie</t>
  </si>
  <si>
    <t>Sharice</t>
  </si>
  <si>
    <t>Marry</t>
  </si>
  <si>
    <t>Laureen</t>
  </si>
  <si>
    <t>Jaymie</t>
  </si>
  <si>
    <t>Lanette</t>
  </si>
  <si>
    <t>Nicholle</t>
  </si>
  <si>
    <t>Joline</t>
  </si>
  <si>
    <t>Maryam</t>
  </si>
  <si>
    <t>Brittny</t>
  </si>
  <si>
    <t>Kori</t>
  </si>
  <si>
    <t>Davina</t>
  </si>
  <si>
    <t>Laquanda</t>
  </si>
  <si>
    <t>Shanna</t>
  </si>
  <si>
    <t>Theressa</t>
  </si>
  <si>
    <t>Sachiko</t>
  </si>
  <si>
    <t>Natalia</t>
  </si>
  <si>
    <t>Veta</t>
  </si>
  <si>
    <t>Yi</t>
  </si>
  <si>
    <t>Caridad</t>
  </si>
  <si>
    <t>Hertha</t>
  </si>
  <si>
    <t>Dorthea</t>
  </si>
  <si>
    <t>Ammie</t>
  </si>
  <si>
    <t>Barbie</t>
  </si>
  <si>
    <t>Eleonor</t>
  </si>
  <si>
    <t>Lynna</t>
  </si>
  <si>
    <t>Camila</t>
  </si>
  <si>
    <t>Alline</t>
  </si>
  <si>
    <t>Cathy</t>
  </si>
  <si>
    <t>Natisha</t>
  </si>
  <si>
    <t>Leena</t>
  </si>
  <si>
    <t>Ofelia</t>
  </si>
  <si>
    <t>Lyda</t>
  </si>
  <si>
    <t>Denae</t>
  </si>
  <si>
    <t>Tomi</t>
  </si>
  <si>
    <t>Regine</t>
  </si>
  <si>
    <t>Nellie</t>
  </si>
  <si>
    <t>Floria</t>
  </si>
  <si>
    <t>Marlo</t>
  </si>
  <si>
    <t>Emilia</t>
  </si>
  <si>
    <t>Jeane</t>
  </si>
  <si>
    <t>Blondell</t>
  </si>
  <si>
    <t>Charlesetta</t>
  </si>
  <si>
    <t>Khadijah</t>
  </si>
  <si>
    <t>Takisha</t>
  </si>
  <si>
    <t>Danette</t>
  </si>
  <si>
    <t>Roxana</t>
  </si>
  <si>
    <t>Elinore</t>
  </si>
  <si>
    <t>Treva</t>
  </si>
  <si>
    <t>Olympia</t>
  </si>
  <si>
    <t>Mavis</t>
  </si>
  <si>
    <t>Peggie</t>
  </si>
  <si>
    <t>Jama</t>
  </si>
  <si>
    <t>Latrice</t>
  </si>
  <si>
    <t>Sharyn</t>
  </si>
  <si>
    <t>Vernell</t>
  </si>
  <si>
    <t>Treena</t>
  </si>
  <si>
    <t>Maire</t>
  </si>
  <si>
    <t>Mitsuko</t>
  </si>
  <si>
    <t>Yvonne</t>
  </si>
  <si>
    <t>Bok</t>
  </si>
  <si>
    <t>Arminda</t>
  </si>
  <si>
    <t>Kandi</t>
  </si>
  <si>
    <t>Cassi</t>
  </si>
  <si>
    <t>Silvana</t>
  </si>
  <si>
    <t>Yolanda</t>
  </si>
  <si>
    <t>Gianna</t>
  </si>
  <si>
    <t>Michiko</t>
  </si>
  <si>
    <t>Myrtie</t>
  </si>
  <si>
    <t>Marhta</t>
  </si>
  <si>
    <t>Lavone</t>
  </si>
  <si>
    <t>Monica</t>
  </si>
  <si>
    <t>Lissette</t>
  </si>
  <si>
    <t>Cherrie</t>
  </si>
  <si>
    <t>Vena</t>
  </si>
  <si>
    <t>Tish</t>
  </si>
  <si>
    <t>Maryln</t>
  </si>
  <si>
    <t>Rea</t>
  </si>
  <si>
    <t>Arnita</t>
  </si>
  <si>
    <t>Lora</t>
  </si>
  <si>
    <t>Carissa</t>
  </si>
  <si>
    <t>Merideth</t>
  </si>
  <si>
    <t>Kia</t>
  </si>
  <si>
    <t>Olevia</t>
  </si>
  <si>
    <t>Rosie</t>
  </si>
  <si>
    <t>Christiane</t>
  </si>
  <si>
    <t>Flo</t>
  </si>
  <si>
    <t>Marylynn</t>
  </si>
  <si>
    <t>Neva</t>
  </si>
  <si>
    <t>Azalee</t>
  </si>
  <si>
    <t>Ossie</t>
  </si>
  <si>
    <t>Gisela</t>
  </si>
  <si>
    <t>Elanor</t>
  </si>
  <si>
    <t>Alexandria</t>
  </si>
  <si>
    <t>Angele</t>
  </si>
  <si>
    <t>Kelsi</t>
  </si>
  <si>
    <t>Florida</t>
  </si>
  <si>
    <t>Edda</t>
  </si>
  <si>
    <t>Ocie</t>
  </si>
  <si>
    <t>Nikita</t>
  </si>
  <si>
    <t>Angelica</t>
  </si>
  <si>
    <t>Cathrine</t>
  </si>
  <si>
    <t>Stephaine</t>
  </si>
  <si>
    <t>Concha</t>
  </si>
  <si>
    <t>Joannie</t>
  </si>
  <si>
    <t>Marianne</t>
  </si>
  <si>
    <t>Tawana</t>
  </si>
  <si>
    <t>Wonda</t>
  </si>
  <si>
    <t>Juanita</t>
  </si>
  <si>
    <t>Tess</t>
  </si>
  <si>
    <t>Avis</t>
  </si>
  <si>
    <t>Mireya</t>
  </si>
  <si>
    <t>Amparo</t>
  </si>
  <si>
    <t>Veda</t>
  </si>
  <si>
    <t>Phylis</t>
  </si>
  <si>
    <t>Celena</t>
  </si>
  <si>
    <t>Beata</t>
  </si>
  <si>
    <t>Adina</t>
  </si>
  <si>
    <t>Aida</t>
  </si>
  <si>
    <t>Vivan</t>
  </si>
  <si>
    <t>Elizabet</t>
  </si>
  <si>
    <t>Delma</t>
  </si>
  <si>
    <t>Joette</t>
  </si>
  <si>
    <t>Carry</t>
  </si>
  <si>
    <t>Julieta</t>
  </si>
  <si>
    <t>Golda</t>
  </si>
  <si>
    <t>Keeley</t>
  </si>
  <si>
    <t>Anjelica</t>
  </si>
  <si>
    <t>June</t>
  </si>
  <si>
    <t>Elfriede</t>
  </si>
  <si>
    <t>Eura</t>
  </si>
  <si>
    <t>Rocio</t>
  </si>
  <si>
    <t>Criselda</t>
  </si>
  <si>
    <t>Sheryl</t>
  </si>
  <si>
    <t>Nelida</t>
  </si>
  <si>
    <t>Hedwig</t>
  </si>
  <si>
    <t>Glenda</t>
  </si>
  <si>
    <t>Madalene</t>
  </si>
  <si>
    <t>Britany</t>
  </si>
  <si>
    <t>Serina</t>
  </si>
  <si>
    <t>Merry</t>
  </si>
  <si>
    <t>Nettie</t>
  </si>
  <si>
    <t>Francina</t>
  </si>
  <si>
    <t>Gena</t>
  </si>
  <si>
    <t>Roxane</t>
  </si>
  <si>
    <t>Latoria</t>
  </si>
  <si>
    <t>Jeannette</t>
  </si>
  <si>
    <t>Michelle</t>
  </si>
  <si>
    <t>Stacia</t>
  </si>
  <si>
    <t>Alyson</t>
  </si>
  <si>
    <t>Davida</t>
  </si>
  <si>
    <t>Khalilah</t>
  </si>
  <si>
    <t>Kenda</t>
  </si>
  <si>
    <t>Waneta</t>
  </si>
  <si>
    <t>Maisie</t>
  </si>
  <si>
    <t>Nora</t>
  </si>
  <si>
    <t>Ardis</t>
  </si>
  <si>
    <t>Melodie</t>
  </si>
  <si>
    <t>Louvenia</t>
  </si>
  <si>
    <t>Cortney</t>
  </si>
  <si>
    <t>Jennifer</t>
  </si>
  <si>
    <t>Sherryl</t>
  </si>
  <si>
    <t>Adelia</t>
  </si>
  <si>
    <t>Tressa</t>
  </si>
  <si>
    <t>Chere</t>
  </si>
  <si>
    <t>Ludie</t>
  </si>
  <si>
    <t>Viva</t>
  </si>
  <si>
    <t>Tashina</t>
  </si>
  <si>
    <t>Tinisha</t>
  </si>
  <si>
    <t>Monika</t>
  </si>
  <si>
    <t>Honey</t>
  </si>
  <si>
    <t>Lottie</t>
  </si>
  <si>
    <t>Johana</t>
  </si>
  <si>
    <t>Lorean</t>
  </si>
  <si>
    <t>Sparkle</t>
  </si>
  <si>
    <t>Dedra</t>
  </si>
  <si>
    <t>Marquerite</t>
  </si>
  <si>
    <t>Mirella</t>
  </si>
  <si>
    <t>Bobbye</t>
  </si>
  <si>
    <t>Shaniqua</t>
  </si>
  <si>
    <t>Mabelle</t>
  </si>
  <si>
    <t>Nella</t>
  </si>
  <si>
    <t>Charolette</t>
  </si>
  <si>
    <t>Toya</t>
  </si>
  <si>
    <t>Carolyne</t>
  </si>
  <si>
    <t>Carlota</t>
  </si>
  <si>
    <t>Malia</t>
  </si>
  <si>
    <t>Clementine</t>
  </si>
  <si>
    <t>Lanora</t>
  </si>
  <si>
    <t>Melba</t>
  </si>
  <si>
    <t>Merna</t>
  </si>
  <si>
    <t>Tiesha</t>
  </si>
  <si>
    <t>Vannesa</t>
  </si>
  <si>
    <t>Spring</t>
  </si>
  <si>
    <t>Sherise</t>
  </si>
  <si>
    <t>Vivienne</t>
  </si>
  <si>
    <t>Annetta</t>
  </si>
  <si>
    <t>Alejandrina</t>
  </si>
  <si>
    <t>Camie</t>
  </si>
  <si>
    <t>Chanelle</t>
  </si>
  <si>
    <t>Kareen</t>
  </si>
  <si>
    <t>Malka</t>
  </si>
  <si>
    <t>Lesa</t>
  </si>
  <si>
    <t>Fabiola</t>
  </si>
  <si>
    <t>Sima</t>
  </si>
  <si>
    <t>Anamaria</t>
  </si>
  <si>
    <t>Bonita</t>
  </si>
  <si>
    <t>Kathlene</t>
  </si>
  <si>
    <t>Pansy</t>
  </si>
  <si>
    <t>Tia</t>
  </si>
  <si>
    <t>Euna</t>
  </si>
  <si>
    <t>Delfina</t>
  </si>
  <si>
    <t>Nicolle</t>
  </si>
  <si>
    <t>Genevieve</t>
  </si>
  <si>
    <t>Marisa</t>
  </si>
  <si>
    <t>Carolin</t>
  </si>
  <si>
    <t>Essie</t>
  </si>
  <si>
    <t>Loma</t>
  </si>
  <si>
    <t>Patsy</t>
  </si>
  <si>
    <t>Brunilda</t>
  </si>
  <si>
    <t>Jonie</t>
  </si>
  <si>
    <t>Joellen</t>
  </si>
  <si>
    <t>Petrina</t>
  </si>
  <si>
    <t>Loura</t>
  </si>
  <si>
    <t>Adriene</t>
  </si>
  <si>
    <t>Leeanne</t>
  </si>
  <si>
    <t>Alesha</t>
  </si>
  <si>
    <t>Birgit</t>
  </si>
  <si>
    <t>Aretha</t>
  </si>
  <si>
    <t>Sherita</t>
  </si>
  <si>
    <t>Lisandra</t>
  </si>
  <si>
    <t>Evelyne</t>
  </si>
  <si>
    <t>Marcelene</t>
  </si>
  <si>
    <t>Shaina</t>
  </si>
  <si>
    <t>Maurine</t>
  </si>
  <si>
    <t>Sanda</t>
  </si>
  <si>
    <t>Tammara</t>
  </si>
  <si>
    <t>Eustolia</t>
  </si>
  <si>
    <t>Christal</t>
  </si>
  <si>
    <t>Catrina</t>
  </si>
  <si>
    <t>Evon</t>
  </si>
  <si>
    <t>Leila</t>
  </si>
  <si>
    <t>Lakesha</t>
  </si>
  <si>
    <t>Meghann</t>
  </si>
  <si>
    <t>Desire</t>
  </si>
  <si>
    <t>Saundra</t>
  </si>
  <si>
    <t>Elois</t>
  </si>
  <si>
    <t>Ai</t>
  </si>
  <si>
    <t>Pei</t>
  </si>
  <si>
    <t>Bao</t>
  </si>
  <si>
    <t>Miesha</t>
  </si>
  <si>
    <t>Karla</t>
  </si>
  <si>
    <t>Velia</t>
  </si>
  <si>
    <t>Suzann</t>
  </si>
  <si>
    <t>Natividad</t>
  </si>
  <si>
    <t>Particia</t>
  </si>
  <si>
    <t>Jacquetta</t>
  </si>
  <si>
    <t>Charlott</t>
  </si>
  <si>
    <t>Shiloh</t>
  </si>
  <si>
    <t>Elnora</t>
  </si>
  <si>
    <t>Veronika</t>
  </si>
  <si>
    <t>Adeline</t>
  </si>
  <si>
    <t>Meg</t>
  </si>
  <si>
    <t>Bee</t>
  </si>
  <si>
    <t>Merrie</t>
  </si>
  <si>
    <t>Sha</t>
  </si>
  <si>
    <t>Deborah</t>
  </si>
  <si>
    <t>Jacinta</t>
  </si>
  <si>
    <t>Dorathy</t>
  </si>
  <si>
    <t>Mariella</t>
  </si>
  <si>
    <t>Bobette</t>
  </si>
  <si>
    <t>Kanisha</t>
  </si>
  <si>
    <t>Rachael</t>
  </si>
  <si>
    <t>Trang</t>
  </si>
  <si>
    <t>Melany</t>
  </si>
  <si>
    <t>Bea</t>
  </si>
  <si>
    <t>Cleta</t>
  </si>
  <si>
    <t>Roseanna</t>
  </si>
  <si>
    <t>Faviola</t>
  </si>
  <si>
    <t>Tatyana</t>
  </si>
  <si>
    <t>Piedad</t>
  </si>
  <si>
    <t>Demetrice</t>
  </si>
  <si>
    <t>Juliann</t>
  </si>
  <si>
    <t>Halley</t>
  </si>
  <si>
    <t>Genevie</t>
  </si>
  <si>
    <t>Linette</t>
  </si>
  <si>
    <t>Ardell</t>
  </si>
  <si>
    <t>Danille</t>
  </si>
  <si>
    <t>Octavia</t>
  </si>
  <si>
    <t>Karma</t>
  </si>
  <si>
    <t>Cythia</t>
  </si>
  <si>
    <t>Willetta</t>
  </si>
  <si>
    <t>Carma</t>
  </si>
  <si>
    <t>Delinda</t>
  </si>
  <si>
    <t>Emelina</t>
  </si>
  <si>
    <t>Asuncion</t>
  </si>
  <si>
    <t>Marget</t>
  </si>
  <si>
    <t>Tona</t>
  </si>
  <si>
    <t>Eun</t>
  </si>
  <si>
    <t>Florene</t>
  </si>
  <si>
    <t>Tabetha</t>
  </si>
  <si>
    <t>Suk</t>
  </si>
  <si>
    <t>Lorri</t>
  </si>
  <si>
    <t>Rossie</t>
  </si>
  <si>
    <t>Jolynn</t>
  </si>
  <si>
    <t>Jayme</t>
  </si>
  <si>
    <t>Coretta</t>
  </si>
  <si>
    <t>Reda</t>
  </si>
  <si>
    <t>Latia</t>
  </si>
  <si>
    <t>Vivian</t>
  </si>
  <si>
    <t>Lashaunda</t>
  </si>
  <si>
    <t>Glenna</t>
  </si>
  <si>
    <t>Jolyn</t>
  </si>
  <si>
    <t>Nu</t>
  </si>
  <si>
    <t>Sonya</t>
  </si>
  <si>
    <t>Delois</t>
  </si>
  <si>
    <t>Shavon</t>
  </si>
  <si>
    <t>Cleotilde</t>
  </si>
  <si>
    <t>Matha</t>
  </si>
  <si>
    <t>Carolyn</t>
  </si>
  <si>
    <t>Theodora</t>
  </si>
  <si>
    <t>Merlene</t>
  </si>
  <si>
    <t>Kimbra</t>
  </si>
  <si>
    <t>Liza</t>
  </si>
  <si>
    <t>Antonette</t>
  </si>
  <si>
    <t>Nicol</t>
  </si>
  <si>
    <t>Margarite</t>
  </si>
  <si>
    <t>Cher</t>
  </si>
  <si>
    <t>Tanja</t>
  </si>
  <si>
    <t>Mikaela</t>
  </si>
  <si>
    <t>Shira</t>
  </si>
  <si>
    <t>Kari</t>
  </si>
  <si>
    <t>Izola</t>
  </si>
  <si>
    <t>Rosella</t>
  </si>
  <si>
    <t>Suzanna</t>
  </si>
  <si>
    <t>Joi</t>
  </si>
  <si>
    <t>Marge</t>
  </si>
  <si>
    <t>Socorro</t>
  </si>
  <si>
    <t>Patria</t>
  </si>
  <si>
    <t>Lissa</t>
  </si>
  <si>
    <t>Tandra</t>
  </si>
  <si>
    <t>Edith</t>
  </si>
  <si>
    <t>Alma</t>
  </si>
  <si>
    <t>Un</t>
  </si>
  <si>
    <t>Rhiannon</t>
  </si>
  <si>
    <t>Debbi</t>
  </si>
  <si>
    <t>Georgetta</t>
  </si>
  <si>
    <t>Kitty</t>
  </si>
  <si>
    <t>Karyl</t>
  </si>
  <si>
    <t>Sanjuana</t>
  </si>
  <si>
    <t>Salome</t>
  </si>
  <si>
    <t>Iva</t>
  </si>
  <si>
    <t>Melodi</t>
  </si>
  <si>
    <t>Carmella</t>
  </si>
  <si>
    <t>Dorothea</t>
  </si>
  <si>
    <t>Ellena</t>
  </si>
  <si>
    <t>Delphine</t>
  </si>
  <si>
    <t>Angle</t>
  </si>
  <si>
    <t>Jeanett</t>
  </si>
  <si>
    <t>Judith</t>
  </si>
  <si>
    <t>Kristin</t>
  </si>
  <si>
    <t>Loris</t>
  </si>
  <si>
    <t>Dannette</t>
  </si>
  <si>
    <t>Kellie</t>
  </si>
  <si>
    <t>Janyce</t>
  </si>
  <si>
    <t>Emmy</t>
  </si>
  <si>
    <t>Johanna</t>
  </si>
  <si>
    <t>Setsuko</t>
  </si>
  <si>
    <t>Candelaria</t>
  </si>
  <si>
    <t>Jacque</t>
  </si>
  <si>
    <t>Ryann</t>
  </si>
  <si>
    <t>Kathlyn</t>
  </si>
  <si>
    <t>Youlanda</t>
  </si>
  <si>
    <t>Kathline</t>
  </si>
  <si>
    <t>Klara</t>
  </si>
  <si>
    <t>Britta</t>
  </si>
  <si>
    <t>Caroline</t>
  </si>
  <si>
    <t>Kiyoko</t>
  </si>
  <si>
    <t>Cleora</t>
  </si>
  <si>
    <t>Rozella</t>
  </si>
  <si>
    <t>Aurea</t>
  </si>
  <si>
    <t>Nyla</t>
  </si>
  <si>
    <t>Kacey</t>
  </si>
  <si>
    <t>Luann</t>
  </si>
  <si>
    <t>Clementina</t>
  </si>
  <si>
    <t>Louetta</t>
  </si>
  <si>
    <t>Bruna</t>
  </si>
  <si>
    <t>Joann</t>
  </si>
  <si>
    <t>Carole</t>
  </si>
  <si>
    <t>Bethann</t>
  </si>
  <si>
    <t>Theresia</t>
  </si>
  <si>
    <t>Leontine</t>
  </si>
  <si>
    <t>Lorretta</t>
  </si>
  <si>
    <t>Domitila</t>
  </si>
  <si>
    <t>Cindi</t>
  </si>
  <si>
    <t>Magaret</t>
  </si>
  <si>
    <t>Bette</t>
  </si>
  <si>
    <t>Juana</t>
  </si>
  <si>
    <t>Loise</t>
  </si>
  <si>
    <t>Yolande</t>
  </si>
  <si>
    <t>Doris</t>
  </si>
  <si>
    <t>Bong</t>
  </si>
  <si>
    <t>Aracelis</t>
  </si>
  <si>
    <t>Ora</t>
  </si>
  <si>
    <t>Maud</t>
  </si>
  <si>
    <t>Cordelia</t>
  </si>
  <si>
    <t>Shona</t>
  </si>
  <si>
    <t>Niesha</t>
  </si>
  <si>
    <t>Hillary</t>
  </si>
  <si>
    <t>Augusta</t>
  </si>
  <si>
    <t>Claudie</t>
  </si>
  <si>
    <t>Ta</t>
  </si>
  <si>
    <t>Tasia</t>
  </si>
  <si>
    <t>Cinthia</t>
  </si>
  <si>
    <t>Carolynn</t>
  </si>
  <si>
    <t>Suzanne</t>
  </si>
  <si>
    <t>Celestine</t>
  </si>
  <si>
    <t>Rosaura</t>
  </si>
  <si>
    <t>Arlette</t>
  </si>
  <si>
    <t>Marna</t>
  </si>
  <si>
    <t>Mozelle</t>
  </si>
  <si>
    <t>Shawna</t>
  </si>
  <si>
    <t>Karolyn</t>
  </si>
  <si>
    <t>Pearline</t>
  </si>
  <si>
    <t>Annie</t>
  </si>
  <si>
    <t>Rachelle</t>
  </si>
  <si>
    <t>Contessa</t>
  </si>
  <si>
    <t>Veronique</t>
  </si>
  <si>
    <t>Sanjuanita</t>
  </si>
  <si>
    <t>Soo</t>
  </si>
  <si>
    <t>Johna</t>
  </si>
  <si>
    <t>China</t>
  </si>
  <si>
    <t>Shawnee</t>
  </si>
  <si>
    <t>Tiana</t>
  </si>
  <si>
    <t>Sirena</t>
  </si>
  <si>
    <t>Lovetta</t>
  </si>
  <si>
    <t>Lakita</t>
  </si>
  <si>
    <t>Ivette</t>
  </si>
  <si>
    <t>Deann</t>
  </si>
  <si>
    <t>Edythe</t>
  </si>
  <si>
    <t>Kerrie</t>
  </si>
  <si>
    <t>Lola</t>
  </si>
  <si>
    <t>Kimberlee</t>
  </si>
  <si>
    <t>Sadie</t>
  </si>
  <si>
    <t>Tanika</t>
  </si>
  <si>
    <t>Tonette</t>
  </si>
  <si>
    <t>Wen</t>
  </si>
  <si>
    <t>Lauri</t>
  </si>
  <si>
    <t>Dione</t>
  </si>
  <si>
    <t>Ching</t>
  </si>
  <si>
    <t>Malika</t>
  </si>
  <si>
    <t>Elissa</t>
  </si>
  <si>
    <t>Gertrud</t>
  </si>
  <si>
    <t>Marquetta</t>
  </si>
  <si>
    <t>Talisha</t>
  </si>
  <si>
    <t>Tangela</t>
  </si>
  <si>
    <t>Joie</t>
  </si>
  <si>
    <t>Vernia</t>
  </si>
  <si>
    <t>Alleen</t>
  </si>
  <si>
    <t>Hellen</t>
  </si>
  <si>
    <t>Fernanda</t>
  </si>
  <si>
    <t>Myrl</t>
  </si>
  <si>
    <t>Eunice</t>
  </si>
  <si>
    <t>Shandra</t>
  </si>
  <si>
    <t>Elfrieda</t>
  </si>
  <si>
    <t>Letha</t>
  </si>
  <si>
    <t>Meagan</t>
  </si>
  <si>
    <t>Anna</t>
  </si>
  <si>
    <t>Genie</t>
  </si>
  <si>
    <t>Keturah</t>
  </si>
  <si>
    <t>Nana</t>
  </si>
  <si>
    <t>Shantell</t>
  </si>
  <si>
    <t>Josefa</t>
  </si>
  <si>
    <t>Mai</t>
  </si>
  <si>
    <t>Siobhan</t>
  </si>
  <si>
    <t>Christia</t>
  </si>
  <si>
    <t>Cherly</t>
  </si>
  <si>
    <t>Becki</t>
  </si>
  <si>
    <t>Karren</t>
  </si>
  <si>
    <t>Lucia</t>
  </si>
  <si>
    <t>Delpha</t>
  </si>
  <si>
    <t>Paulette</t>
  </si>
  <si>
    <t>Mazie</t>
  </si>
  <si>
    <t>Esther</t>
  </si>
  <si>
    <t>Marya</t>
  </si>
  <si>
    <t>Noma</t>
  </si>
  <si>
    <t>Giuseppina</t>
  </si>
  <si>
    <t>Gaylene</t>
  </si>
  <si>
    <t>Tamra</t>
  </si>
  <si>
    <t>Jayne</t>
  </si>
  <si>
    <t>Kenyetta</t>
  </si>
  <si>
    <t>Karry</t>
  </si>
  <si>
    <t>Jayna</t>
  </si>
  <si>
    <t>Marnie</t>
  </si>
  <si>
    <t>Kathi</t>
  </si>
  <si>
    <t>Hallie</t>
  </si>
  <si>
    <t>Cathie</t>
  </si>
  <si>
    <t>Eden</t>
  </si>
  <si>
    <t>Tanya</t>
  </si>
  <si>
    <t>Meggan</t>
  </si>
  <si>
    <t>Maxima</t>
  </si>
  <si>
    <t>Cherise</t>
  </si>
  <si>
    <t>Florance</t>
  </si>
  <si>
    <t>Ayesha</t>
  </si>
  <si>
    <t>Eugena</t>
  </si>
  <si>
    <t>Lorelei</t>
  </si>
  <si>
    <t>Chastity</t>
  </si>
  <si>
    <t>Gabriela</t>
  </si>
  <si>
    <t>Mendy</t>
  </si>
  <si>
    <t>Eboni</t>
  </si>
  <si>
    <t>Bridgett</t>
  </si>
  <si>
    <t>Temika</t>
  </si>
  <si>
    <t>Catarina</t>
  </si>
  <si>
    <t>Stephine</t>
  </si>
  <si>
    <t>Philomena</t>
  </si>
  <si>
    <t>Neomi</t>
  </si>
  <si>
    <t>Kristle</t>
  </si>
  <si>
    <t>Lean</t>
  </si>
  <si>
    <t>Elin</t>
  </si>
  <si>
    <t>Lacresha</t>
  </si>
  <si>
    <t>Elisa</t>
  </si>
  <si>
    <t>Wilhelmina</t>
  </si>
  <si>
    <t>Verda</t>
  </si>
  <si>
    <t>Kasha</t>
  </si>
  <si>
    <t>Breann</t>
  </si>
  <si>
    <t>Gisele</t>
  </si>
  <si>
    <t>Kiley</t>
  </si>
  <si>
    <t>Gretchen</t>
  </si>
  <si>
    <t>Carmela</t>
  </si>
  <si>
    <t>Stefanie</t>
  </si>
  <si>
    <t>Dung</t>
  </si>
  <si>
    <t>Lizabeth</t>
  </si>
  <si>
    <t>Qiana</t>
  </si>
  <si>
    <t>Slyvia</t>
  </si>
  <si>
    <t>Hwa</t>
  </si>
  <si>
    <t>Nancee</t>
  </si>
  <si>
    <t>Lindsy</t>
  </si>
  <si>
    <t>Vanda</t>
  </si>
  <si>
    <t>Lula</t>
  </si>
  <si>
    <t>Darci</t>
  </si>
  <si>
    <t>Alesia</t>
  </si>
  <si>
    <t>Flora</t>
  </si>
  <si>
    <t>Evia</t>
  </si>
  <si>
    <t>Britney</t>
  </si>
  <si>
    <t>Wendolyn</t>
  </si>
  <si>
    <t>Marcella</t>
  </si>
  <si>
    <t>Sari</t>
  </si>
  <si>
    <t>Lurlene</t>
  </si>
  <si>
    <t>Dorothy</t>
  </si>
  <si>
    <t>Ja</t>
  </si>
  <si>
    <t>Penni</t>
  </si>
  <si>
    <t>Rebbecca</t>
  </si>
  <si>
    <t>Aracely</t>
  </si>
  <si>
    <t>Muriel</t>
  </si>
  <si>
    <t>Serita</t>
  </si>
  <si>
    <t>Janita</t>
  </si>
  <si>
    <t>Sona</t>
  </si>
  <si>
    <t>Darlena</t>
  </si>
  <si>
    <t>An</t>
  </si>
  <si>
    <t>Tam</t>
  </si>
  <si>
    <t>Amberly</t>
  </si>
  <si>
    <t>Phillis</t>
  </si>
  <si>
    <t>Angla</t>
  </si>
  <si>
    <t>Estela</t>
  </si>
  <si>
    <t>Bambi</t>
  </si>
  <si>
    <t>Tari</t>
  </si>
  <si>
    <t>Lily</t>
  </si>
  <si>
    <t>Felicita</t>
  </si>
  <si>
    <t>Else</t>
  </si>
  <si>
    <t>Grisel</t>
  </si>
  <si>
    <t>Candyce</t>
  </si>
  <si>
    <t>Sharell</t>
  </si>
  <si>
    <t>Wilhemina</t>
  </si>
  <si>
    <t>Melonie</t>
  </si>
  <si>
    <t>Mari</t>
  </si>
  <si>
    <t>Alane</t>
  </si>
  <si>
    <t>Vasiliki</t>
  </si>
  <si>
    <t>Kirstin</t>
  </si>
  <si>
    <t>Arnetta</t>
  </si>
  <si>
    <t>Olive</t>
  </si>
  <si>
    <t>Wei</t>
  </si>
  <si>
    <t>Margarette</t>
  </si>
  <si>
    <t>Quyen</t>
  </si>
  <si>
    <t>Laquita</t>
  </si>
  <si>
    <t>Karol</t>
  </si>
  <si>
    <t>Ozell</t>
  </si>
  <si>
    <t>Valrie</t>
  </si>
  <si>
    <t>Lai</t>
  </si>
  <si>
    <t>Lorinda</t>
  </si>
  <si>
    <t>Amal</t>
  </si>
  <si>
    <t>Annabell</t>
  </si>
  <si>
    <t>Kristi</t>
  </si>
  <si>
    <t>Kit</t>
  </si>
  <si>
    <t>Nita</t>
  </si>
  <si>
    <t>Veronica</t>
  </si>
  <si>
    <t>Lauryn</t>
  </si>
  <si>
    <t>Pok</t>
  </si>
  <si>
    <t>Teressa</t>
  </si>
  <si>
    <t>Elwanda</t>
  </si>
  <si>
    <t>Meghan</t>
  </si>
  <si>
    <t>Germaine</t>
  </si>
  <si>
    <t>Mallie</t>
  </si>
  <si>
    <t>Jacqulyn</t>
  </si>
  <si>
    <t>Laurinda</t>
  </si>
  <si>
    <t>Selina</t>
  </si>
  <si>
    <t>Dede</t>
  </si>
  <si>
    <t>Kandice</t>
  </si>
  <si>
    <t>Leora</t>
  </si>
  <si>
    <t>Natosha</t>
  </si>
  <si>
    <t>Gennie</t>
  </si>
  <si>
    <t>Luciana</t>
  </si>
  <si>
    <t>Hsiu</t>
  </si>
  <si>
    <t>Kristyn</t>
  </si>
  <si>
    <t>Chana</t>
  </si>
  <si>
    <t>Windy</t>
  </si>
  <si>
    <t>Tisa</t>
  </si>
  <si>
    <t>Audrie</t>
  </si>
  <si>
    <t>Lauretta</t>
  </si>
  <si>
    <t>Flavia</t>
  </si>
  <si>
    <t>Diann</t>
  </si>
  <si>
    <t>Grayce</t>
  </si>
  <si>
    <t>Josephine</t>
  </si>
  <si>
    <t>Vertie</t>
  </si>
  <si>
    <t>Cierra</t>
  </si>
  <si>
    <t>Jina</t>
  </si>
  <si>
    <t>Breanna</t>
  </si>
  <si>
    <t>Florinda</t>
  </si>
  <si>
    <t>Rosalba</t>
  </si>
  <si>
    <t>Aisha</t>
  </si>
  <si>
    <t>Mariel</t>
  </si>
  <si>
    <t>Dorene</t>
  </si>
  <si>
    <t>Pricilla</t>
  </si>
  <si>
    <t>Tobie</t>
  </si>
  <si>
    <t>Ronni</t>
  </si>
  <si>
    <t>Callie</t>
  </si>
  <si>
    <t>Albertha</t>
  </si>
  <si>
    <t>Christeen</t>
  </si>
  <si>
    <t>Lolita</t>
  </si>
  <si>
    <t>Faith</t>
  </si>
  <si>
    <t>Kandace</t>
  </si>
  <si>
    <t>Candy</t>
  </si>
  <si>
    <t>Janean</t>
  </si>
  <si>
    <t>Laveta</t>
  </si>
  <si>
    <t>Nickie</t>
  </si>
  <si>
    <t>Marni</t>
  </si>
  <si>
    <t>Brittaney</t>
  </si>
  <si>
    <t>Terina</t>
  </si>
  <si>
    <t>Madelyn</t>
  </si>
  <si>
    <t>Shawanda</t>
  </si>
  <si>
    <t>Joni</t>
  </si>
  <si>
    <t>Shelly</t>
  </si>
  <si>
    <t>Jong</t>
  </si>
  <si>
    <t>Melony</t>
  </si>
  <si>
    <t>Maris</t>
  </si>
  <si>
    <t>Iliana</t>
  </si>
  <si>
    <t>Roxanne</t>
  </si>
  <si>
    <t>Angelena</t>
  </si>
  <si>
    <t>Larissa</t>
  </si>
  <si>
    <t>Margie</t>
  </si>
  <si>
    <t>Lala</t>
  </si>
  <si>
    <t>Alina</t>
  </si>
  <si>
    <t>Otilia</t>
  </si>
  <si>
    <t>Tomoko</t>
  </si>
  <si>
    <t>Tarra</t>
  </si>
  <si>
    <t>Ginger</t>
  </si>
  <si>
    <t>Shelia</t>
  </si>
  <si>
    <t>Tyisha</t>
  </si>
  <si>
    <t>Shay</t>
  </si>
  <si>
    <t>Keri</t>
  </si>
  <si>
    <t>Hang</t>
  </si>
  <si>
    <t>Kamala</t>
  </si>
  <si>
    <t>Natashia</t>
  </si>
  <si>
    <t>Pa</t>
  </si>
  <si>
    <t>Layne</t>
  </si>
  <si>
    <t>Dinah</t>
  </si>
  <si>
    <t>Isa</t>
  </si>
  <si>
    <t>Manda</t>
  </si>
  <si>
    <t>Taunya</t>
  </si>
  <si>
    <t>Kathryn</t>
  </si>
  <si>
    <t>Liz</t>
  </si>
  <si>
    <t>Evelia</t>
  </si>
  <si>
    <t>Donnetta</t>
  </si>
  <si>
    <t>Misti</t>
  </si>
  <si>
    <t>Anette</t>
  </si>
  <si>
    <t>Ena</t>
  </si>
  <si>
    <t>Verla</t>
  </si>
  <si>
    <t>Jenee</t>
  </si>
  <si>
    <t>Marvis</t>
  </si>
  <si>
    <t>Melvina</t>
  </si>
  <si>
    <t>Adrien</t>
  </si>
  <si>
    <t>Beverley</t>
  </si>
  <si>
    <t>Nadene</t>
  </si>
  <si>
    <t>Shelli</t>
  </si>
  <si>
    <t>Niki</t>
  </si>
  <si>
    <t>Elinor</t>
  </si>
  <si>
    <t>Fumiko</t>
  </si>
  <si>
    <t>Elane</t>
  </si>
  <si>
    <t>Cheryl</t>
  </si>
  <si>
    <t>Eleanore</t>
  </si>
  <si>
    <t>Tashia</t>
  </si>
  <si>
    <t>Candie</t>
  </si>
  <si>
    <t>Danyell</t>
  </si>
  <si>
    <t>Alisha</t>
  </si>
  <si>
    <t>Yolonda</t>
  </si>
  <si>
    <t>Dimple</t>
  </si>
  <si>
    <t>Otis</t>
  </si>
  <si>
    <t>Guadalupe</t>
  </si>
  <si>
    <t>Lupe</t>
  </si>
  <si>
    <t>Dwain</t>
  </si>
  <si>
    <t>Johnathon</t>
  </si>
  <si>
    <t>Hugo</t>
  </si>
  <si>
    <t>Salvador</t>
  </si>
  <si>
    <t>Fausto</t>
  </si>
  <si>
    <t>Jed</t>
  </si>
  <si>
    <t>Jerald</t>
  </si>
  <si>
    <t>Jeremiah</t>
  </si>
  <si>
    <t>Brett</t>
  </si>
  <si>
    <t>Ed</t>
  </si>
  <si>
    <t>Rodolfo</t>
  </si>
  <si>
    <t>Armand</t>
  </si>
  <si>
    <t>Chance</t>
  </si>
  <si>
    <t>Agustin</t>
  </si>
  <si>
    <t>Alfredo</t>
  </si>
  <si>
    <t>Lonny</t>
  </si>
  <si>
    <t>Mohammed</t>
  </si>
  <si>
    <t>Nathanial</t>
  </si>
  <si>
    <t>Virgil</t>
  </si>
  <si>
    <t>Johnny</t>
  </si>
  <si>
    <t>Kurtis</t>
  </si>
  <si>
    <t>Rickey</t>
  </si>
  <si>
    <t>Jared</t>
  </si>
  <si>
    <t>Rob</t>
  </si>
  <si>
    <t>Joesph</t>
  </si>
  <si>
    <t>Delmar</t>
  </si>
  <si>
    <t>Fidel</t>
  </si>
  <si>
    <t>Grover</t>
  </si>
  <si>
    <t>Matt</t>
  </si>
  <si>
    <t>Eloy</t>
  </si>
  <si>
    <t>Marvin</t>
  </si>
  <si>
    <t>Lyle</t>
  </si>
  <si>
    <t>Bertram</t>
  </si>
  <si>
    <t>Osvaldo</t>
  </si>
  <si>
    <t>Titus</t>
  </si>
  <si>
    <t>Adam</t>
  </si>
  <si>
    <t>Lyman</t>
  </si>
  <si>
    <t>Toby</t>
  </si>
  <si>
    <t>Jasper</t>
  </si>
  <si>
    <t>Monte</t>
  </si>
  <si>
    <t>Andreas</t>
  </si>
  <si>
    <t>Domingo</t>
  </si>
  <si>
    <t>Hubert</t>
  </si>
  <si>
    <t>Bert</t>
  </si>
  <si>
    <t>Darrell</t>
  </si>
  <si>
    <t>Wilfred</t>
  </si>
  <si>
    <t>Rosendo</t>
  </si>
  <si>
    <t>Korey</t>
  </si>
  <si>
    <t>Isaias</t>
  </si>
  <si>
    <t>Mauricio</t>
  </si>
  <si>
    <t>Raymundo</t>
  </si>
  <si>
    <t>Donn</t>
  </si>
  <si>
    <t>Lazaro</t>
  </si>
  <si>
    <t>Geoffrey</t>
  </si>
  <si>
    <t>Fredric</t>
  </si>
  <si>
    <t>Otha</t>
  </si>
  <si>
    <t>Scot</t>
  </si>
  <si>
    <t>Leonardo</t>
  </si>
  <si>
    <t>Willie</t>
  </si>
  <si>
    <t>Jimmie</t>
  </si>
  <si>
    <t>Sandy</t>
  </si>
  <si>
    <t>Jude</t>
  </si>
  <si>
    <t>Rolf</t>
  </si>
  <si>
    <t>Chi</t>
  </si>
  <si>
    <t>Robbie</t>
  </si>
  <si>
    <t>Norbert</t>
  </si>
  <si>
    <t>Willy</t>
  </si>
  <si>
    <t>Brad</t>
  </si>
  <si>
    <t>Winford</t>
  </si>
  <si>
    <t>Elbert</t>
  </si>
  <si>
    <t>Wilbert</t>
  </si>
  <si>
    <t>Freddie</t>
  </si>
  <si>
    <t>Micah</t>
  </si>
  <si>
    <t>Burl</t>
  </si>
  <si>
    <t>Rogelio</t>
  </si>
  <si>
    <t>Enoch</t>
  </si>
  <si>
    <t>Rodrigo</t>
  </si>
  <si>
    <t>Terrance</t>
  </si>
  <si>
    <t>Efrain</t>
  </si>
  <si>
    <t>Filiberto</t>
  </si>
  <si>
    <t>Jeffery</t>
  </si>
  <si>
    <t>Daron</t>
  </si>
  <si>
    <t>Christoper</t>
  </si>
  <si>
    <t>Delmer</t>
  </si>
  <si>
    <t>Galen</t>
  </si>
  <si>
    <t>Horace</t>
  </si>
  <si>
    <t>Javier</t>
  </si>
  <si>
    <t>Nathan</t>
  </si>
  <si>
    <t>Jamar</t>
  </si>
  <si>
    <t>Jackie</t>
  </si>
  <si>
    <t>Harlan</t>
  </si>
  <si>
    <t>Jerrell</t>
  </si>
  <si>
    <t>Emmanuel</t>
  </si>
  <si>
    <t>Jamey</t>
  </si>
  <si>
    <t>Mervin</t>
  </si>
  <si>
    <t>Colin</t>
  </si>
  <si>
    <t>Damien</t>
  </si>
  <si>
    <t>Gerardo</t>
  </si>
  <si>
    <t>Benny</t>
  </si>
  <si>
    <t>Duane</t>
  </si>
  <si>
    <t>Teddy</t>
  </si>
  <si>
    <t>Reggie</t>
  </si>
  <si>
    <t>Gregorio</t>
  </si>
  <si>
    <t>Clemente</t>
  </si>
  <si>
    <t>Rod</t>
  </si>
  <si>
    <t>Jonathon</t>
  </si>
  <si>
    <t>Frances</t>
  </si>
  <si>
    <t>Giuseppe</t>
  </si>
  <si>
    <t>Tory</t>
  </si>
  <si>
    <t>Teodoro</t>
  </si>
  <si>
    <t>Wilfredo</t>
  </si>
  <si>
    <t>Wilber</t>
  </si>
  <si>
    <t>Will</t>
  </si>
  <si>
    <t>Tracey</t>
  </si>
  <si>
    <t>Edwardo</t>
  </si>
  <si>
    <t>Roger</t>
  </si>
  <si>
    <t>Irving</t>
  </si>
  <si>
    <t>Jay</t>
  </si>
  <si>
    <t>Robin</t>
  </si>
  <si>
    <t>Cory</t>
  </si>
  <si>
    <t>Diego</t>
  </si>
  <si>
    <t>Nathanael</t>
  </si>
  <si>
    <t>August</t>
  </si>
  <si>
    <t>Alden</t>
  </si>
  <si>
    <t>Orlando</t>
  </si>
  <si>
    <t>Emile</t>
  </si>
  <si>
    <t>Darin</t>
  </si>
  <si>
    <t>Moshe</t>
  </si>
  <si>
    <t>Emilio</t>
  </si>
  <si>
    <t>Minh</t>
  </si>
  <si>
    <t>Hal</t>
  </si>
  <si>
    <t>Buddy</t>
  </si>
  <si>
    <t>Kelvin</t>
  </si>
  <si>
    <t>Deandre</t>
  </si>
  <si>
    <t>Carlos</t>
  </si>
  <si>
    <t>Modesto</t>
  </si>
  <si>
    <t>Earle</t>
  </si>
  <si>
    <t>Florencio</t>
  </si>
  <si>
    <t>Chadwick</t>
  </si>
  <si>
    <t>Lino</t>
  </si>
  <si>
    <t>Dexter</t>
  </si>
  <si>
    <t>Ken</t>
  </si>
  <si>
    <t>Giovanni</t>
  </si>
  <si>
    <t>Ricky</t>
  </si>
  <si>
    <t>Dewey</t>
  </si>
  <si>
    <t>Marc</t>
  </si>
  <si>
    <t>Leonel</t>
  </si>
  <si>
    <t>Jess</t>
  </si>
  <si>
    <t>Hai</t>
  </si>
  <si>
    <t>Lawerence</t>
  </si>
  <si>
    <t>Errol</t>
  </si>
  <si>
    <t>Freddy</t>
  </si>
  <si>
    <t>Joan</t>
  </si>
  <si>
    <t>Leroy</t>
  </si>
  <si>
    <t>Jesus</t>
  </si>
  <si>
    <t>Garret</t>
  </si>
  <si>
    <t>Jc</t>
  </si>
  <si>
    <t>Marcelino</t>
  </si>
  <si>
    <t>Gonzalo</t>
  </si>
  <si>
    <t>Malcom</t>
  </si>
  <si>
    <t>Antoine</t>
  </si>
  <si>
    <t>Joshua</t>
  </si>
  <si>
    <t>Lionel</t>
  </si>
  <si>
    <t>Myles</t>
  </si>
  <si>
    <t>Kennith</t>
  </si>
  <si>
    <t>Scottie</t>
  </si>
  <si>
    <t>Donny</t>
  </si>
  <si>
    <t>Collin</t>
  </si>
  <si>
    <t>Pete</t>
  </si>
  <si>
    <t>Brenton</t>
  </si>
  <si>
    <t>Rene</t>
  </si>
  <si>
    <t>Merlin</t>
  </si>
  <si>
    <t>Emanuel</t>
  </si>
  <si>
    <t>Saul</t>
  </si>
  <si>
    <t>Johnnie</t>
  </si>
  <si>
    <t>Mikel</t>
  </si>
  <si>
    <t>Bradly</t>
  </si>
  <si>
    <t>Genaro</t>
  </si>
  <si>
    <t>Shelby</t>
  </si>
  <si>
    <t>Garry</t>
  </si>
  <si>
    <t>Lonnie</t>
  </si>
  <si>
    <t>Rickie</t>
  </si>
  <si>
    <t>Alfonzo</t>
  </si>
  <si>
    <t>Michale</t>
  </si>
  <si>
    <t>Antone</t>
  </si>
  <si>
    <t>Wm</t>
  </si>
  <si>
    <t>Daren</t>
  </si>
  <si>
    <t>Joaquin</t>
  </si>
  <si>
    <t>Millard</t>
  </si>
  <si>
    <t>Cristopher</t>
  </si>
  <si>
    <t>Ignacio</t>
  </si>
  <si>
    <t>Kevin</t>
  </si>
  <si>
    <t>Juan</t>
  </si>
  <si>
    <t>Kory</t>
  </si>
  <si>
    <t>Donnell</t>
  </si>
  <si>
    <t>Percy</t>
  </si>
  <si>
    <t>Elvin</t>
  </si>
  <si>
    <t>Rodney</t>
  </si>
  <si>
    <t>Augustine</t>
  </si>
  <si>
    <t>Dong</t>
  </si>
  <si>
    <t>Silas</t>
  </si>
  <si>
    <t>Marcelo</t>
  </si>
  <si>
    <t>Luis</t>
  </si>
  <si>
    <t>Brent</t>
  </si>
  <si>
    <t>Edgardo</t>
  </si>
  <si>
    <t>Cedrick</t>
  </si>
  <si>
    <t>Tommy</t>
  </si>
  <si>
    <t>Coy</t>
  </si>
  <si>
    <t>Rocco</t>
  </si>
  <si>
    <t>Charlie</t>
  </si>
  <si>
    <t>Milford</t>
  </si>
  <si>
    <t>Tad</t>
  </si>
  <si>
    <t>Bart</t>
  </si>
  <si>
    <t>Michal</t>
  </si>
  <si>
    <t>Trey</t>
  </si>
  <si>
    <t>Dallas</t>
  </si>
  <si>
    <t>Alec</t>
  </si>
  <si>
    <t>Dane</t>
  </si>
  <si>
    <t>Hung</t>
  </si>
  <si>
    <t>Lanny</t>
  </si>
  <si>
    <t>Glen</t>
  </si>
  <si>
    <t>Reginald</t>
  </si>
  <si>
    <t>Israel</t>
  </si>
  <si>
    <t>Marlin</t>
  </si>
  <si>
    <t>Harley</t>
  </si>
  <si>
    <t>Elmer</t>
  </si>
  <si>
    <t>Bryce</t>
  </si>
  <si>
    <t>Johnie</t>
  </si>
  <si>
    <t>Sid</t>
  </si>
  <si>
    <t>Danilo</t>
  </si>
  <si>
    <t>Harland</t>
  </si>
  <si>
    <t>Lenny</t>
  </si>
  <si>
    <t>Victor</t>
  </si>
  <si>
    <t>Jeffry</t>
  </si>
  <si>
    <t>Sammie</t>
  </si>
  <si>
    <t>Mickey</t>
  </si>
  <si>
    <t>Vito</t>
  </si>
  <si>
    <t>Granville</t>
  </si>
  <si>
    <t>Gavin</t>
  </si>
  <si>
    <t>Chauncey</t>
  </si>
  <si>
    <t>Myron</t>
  </si>
  <si>
    <t>Heriberto</t>
  </si>
  <si>
    <t>Harold</t>
  </si>
  <si>
    <t>Matthew</t>
  </si>
  <si>
    <t>Art</t>
  </si>
  <si>
    <t>Woodrow</t>
  </si>
  <si>
    <t>Jesse</t>
  </si>
  <si>
    <t>Fredrick</t>
  </si>
  <si>
    <t>Leif</t>
  </si>
  <si>
    <t>Terrence</t>
  </si>
  <si>
    <t>Edwin</t>
  </si>
  <si>
    <t>Buster</t>
  </si>
  <si>
    <t>Winfred</t>
  </si>
  <si>
    <t>Efren</t>
  </si>
  <si>
    <t>Cordell</t>
  </si>
  <si>
    <t>Weldon</t>
  </si>
  <si>
    <t>Eliseo</t>
  </si>
  <si>
    <t>Theron</t>
  </si>
  <si>
    <t>Rudy</t>
  </si>
  <si>
    <t>Quincy</t>
  </si>
  <si>
    <t>Richie</t>
  </si>
  <si>
    <t>Olen</t>
  </si>
  <si>
    <t>Louie</t>
  </si>
  <si>
    <t>Josh</t>
  </si>
  <si>
    <t>Jose</t>
  </si>
  <si>
    <t>Ezekiel</t>
  </si>
  <si>
    <t>Jae</t>
  </si>
  <si>
    <t>Ivory</t>
  </si>
  <si>
    <t>Nicolas</t>
  </si>
  <si>
    <t>Sang</t>
  </si>
  <si>
    <t>Wilton</t>
  </si>
  <si>
    <t>Humberto</t>
  </si>
  <si>
    <t>Carrol</t>
  </si>
  <si>
    <t>Marlon</t>
  </si>
  <si>
    <t>Pat</t>
  </si>
  <si>
    <t>Jimmy</t>
  </si>
  <si>
    <t>Ollie</t>
  </si>
  <si>
    <t>Eldon</t>
  </si>
  <si>
    <t>Donnie</t>
  </si>
  <si>
    <t>Hosea</t>
  </si>
  <si>
    <t>Manual</t>
  </si>
  <si>
    <t>Damion</t>
  </si>
  <si>
    <t>Graig</t>
  </si>
  <si>
    <t>Darryl</t>
  </si>
  <si>
    <t>Brice</t>
  </si>
  <si>
    <t>Quinton</t>
  </si>
  <si>
    <t>Kieth</t>
  </si>
  <si>
    <t>Edmundo</t>
  </si>
  <si>
    <t>Kermit</t>
  </si>
  <si>
    <t>Clint</t>
  </si>
  <si>
    <t>Arron</t>
  </si>
  <si>
    <t>Marco</t>
  </si>
  <si>
    <t>Gayle</t>
  </si>
  <si>
    <t>Rocky</t>
  </si>
  <si>
    <t>Issac</t>
  </si>
  <si>
    <t>Shane</t>
  </si>
  <si>
    <t>Sean</t>
  </si>
  <si>
    <t>Andre</t>
  </si>
  <si>
    <t>Russel</t>
  </si>
  <si>
    <t>Danial</t>
  </si>
  <si>
    <t>Joel</t>
  </si>
  <si>
    <t>Noe</t>
  </si>
  <si>
    <t>Luther</t>
  </si>
  <si>
    <t>Tommie</t>
  </si>
  <si>
    <t>Nicky</t>
  </si>
  <si>
    <t>Willian</t>
  </si>
  <si>
    <t>Cletus</t>
  </si>
  <si>
    <t>Lamont</t>
  </si>
  <si>
    <t>Emory</t>
  </si>
  <si>
    <t>Rigoberto</t>
  </si>
  <si>
    <t>Andy</t>
  </si>
  <si>
    <t>Zackary</t>
  </si>
  <si>
    <t>Tod</t>
  </si>
  <si>
    <t>Rashad</t>
  </si>
  <si>
    <t>Ty</t>
  </si>
  <si>
    <t>Miguel</t>
  </si>
  <si>
    <t>Ian</t>
  </si>
  <si>
    <t>Emmitt</t>
  </si>
  <si>
    <t>Andres</t>
  </si>
  <si>
    <t>Rodger</t>
  </si>
  <si>
    <t>Donte</t>
  </si>
  <si>
    <t>Billy</t>
  </si>
  <si>
    <t>Alberto</t>
  </si>
  <si>
    <t>Brendan</t>
  </si>
  <si>
    <t>Horacio</t>
  </si>
  <si>
    <t>Erich</t>
  </si>
  <si>
    <t>Tomas</t>
  </si>
  <si>
    <t>Dion</t>
  </si>
  <si>
    <t>Anibal</t>
  </si>
  <si>
    <t>Son</t>
  </si>
  <si>
    <t>Luigi</t>
  </si>
  <si>
    <t>Romeo</t>
  </si>
  <si>
    <t>Royce</t>
  </si>
  <si>
    <t>Dusty</t>
  </si>
  <si>
    <t>Rolando</t>
  </si>
  <si>
    <t>Darrick</t>
  </si>
  <si>
    <t>Wendell</t>
  </si>
  <si>
    <t>Gilberto</t>
  </si>
  <si>
    <t>Fabian</t>
  </si>
  <si>
    <t>Tyrone</t>
  </si>
  <si>
    <t>Gaylord</t>
  </si>
  <si>
    <t>Stephan</t>
  </si>
  <si>
    <t>Jaime</t>
  </si>
  <si>
    <t>Dave</t>
  </si>
  <si>
    <t>Maximo</t>
  </si>
  <si>
    <t>Ike</t>
  </si>
  <si>
    <t>Dustin</t>
  </si>
  <si>
    <t>Jospeh</t>
  </si>
  <si>
    <t>Carmine</t>
  </si>
  <si>
    <t>Adolfo</t>
  </si>
  <si>
    <t>Boris</t>
  </si>
  <si>
    <t>Earl</t>
  </si>
  <si>
    <t>Dirk</t>
  </si>
  <si>
    <t>Arlie</t>
  </si>
  <si>
    <t>Asa</t>
  </si>
  <si>
    <t>Erik</t>
  </si>
  <si>
    <t>Dante</t>
  </si>
  <si>
    <t>Dino</t>
  </si>
  <si>
    <t>Wilmer</t>
  </si>
  <si>
    <t>Dan</t>
  </si>
  <si>
    <t>Numbers</t>
  </si>
  <si>
    <t>Guillermo</t>
  </si>
  <si>
    <t>Colton</t>
  </si>
  <si>
    <t>Emmett</t>
  </si>
  <si>
    <t>Troy</t>
  </si>
  <si>
    <t>Sergio</t>
  </si>
  <si>
    <t>Eugene</t>
  </si>
  <si>
    <t>Shad</t>
  </si>
  <si>
    <t>Robby</t>
  </si>
  <si>
    <t>Jules</t>
  </si>
  <si>
    <t>Pasquale</t>
  </si>
  <si>
    <t>Noah</t>
  </si>
  <si>
    <t>Rupert</t>
  </si>
  <si>
    <t>Elvis</t>
  </si>
  <si>
    <t>Jordon</t>
  </si>
  <si>
    <t>Man</t>
  </si>
  <si>
    <t>Blaine</t>
  </si>
  <si>
    <t>Elton</t>
  </si>
  <si>
    <t>Laurence</t>
  </si>
  <si>
    <t>Darrel</t>
  </si>
  <si>
    <t>Roderick</t>
  </si>
  <si>
    <t>Antione</t>
  </si>
  <si>
    <t>Julius</t>
  </si>
  <si>
    <t>Waylon</t>
  </si>
  <si>
    <t>Sam</t>
  </si>
  <si>
    <t>Dominic</t>
  </si>
  <si>
    <t>Josue</t>
  </si>
  <si>
    <t>Jean</t>
  </si>
  <si>
    <t>Emil</t>
  </si>
  <si>
    <t>Calvin</t>
  </si>
  <si>
    <t>Deangelo</t>
  </si>
  <si>
    <t>Rafael</t>
  </si>
  <si>
    <t>Timmy</t>
  </si>
  <si>
    <t>Lesley</t>
  </si>
  <si>
    <t>Raleigh</t>
  </si>
  <si>
    <t>Oswaldo</t>
  </si>
  <si>
    <t>Jamel</t>
  </si>
  <si>
    <t>Micheal</t>
  </si>
  <si>
    <t>Alex</t>
  </si>
  <si>
    <t>Damian</t>
  </si>
  <si>
    <t>Pablo</t>
  </si>
  <si>
    <t>Corey</t>
  </si>
  <si>
    <t>Ernie</t>
  </si>
  <si>
    <t>Dorian</t>
  </si>
  <si>
    <t>Marcellus</t>
  </si>
  <si>
    <t>Theo</t>
  </si>
  <si>
    <t>Samual</t>
  </si>
  <si>
    <t>Adalberto</t>
  </si>
  <si>
    <t>Darell</t>
  </si>
  <si>
    <t>Fermin</t>
  </si>
  <si>
    <t>Kraig</t>
  </si>
  <si>
    <t>Bobby</t>
  </si>
  <si>
    <t>Stefan</t>
  </si>
  <si>
    <t>Sonny</t>
  </si>
  <si>
    <t>Lucio</t>
  </si>
  <si>
    <t>Randy</t>
  </si>
  <si>
    <t>Kenton</t>
  </si>
  <si>
    <t>Jack</t>
  </si>
  <si>
    <t>Len</t>
  </si>
  <si>
    <t>Sydney</t>
  </si>
  <si>
    <t>Keven</t>
  </si>
  <si>
    <t>Vern</t>
  </si>
  <si>
    <t>Adolph</t>
  </si>
  <si>
    <t>Nestor</t>
  </si>
  <si>
    <t>Isreal</t>
  </si>
  <si>
    <t>Lon</t>
  </si>
  <si>
    <t>Santo</t>
  </si>
  <si>
    <t>Nigel</t>
  </si>
  <si>
    <t>Rhett</t>
  </si>
  <si>
    <t>Valentin</t>
  </si>
  <si>
    <t>Elisha</t>
  </si>
  <si>
    <t>Eusebio</t>
  </si>
  <si>
    <t>Zachariah</t>
  </si>
  <si>
    <t>Denis</t>
  </si>
  <si>
    <t>Beau</t>
  </si>
  <si>
    <t>Vicente</t>
  </si>
  <si>
    <t>Darron</t>
  </si>
  <si>
    <t>Delbert</t>
  </si>
  <si>
    <t>Buford</t>
  </si>
  <si>
    <t>Landon</t>
  </si>
  <si>
    <t>Alphonse</t>
  </si>
  <si>
    <t>Yong</t>
  </si>
  <si>
    <t>Enrique</t>
  </si>
  <si>
    <t>Steven</t>
  </si>
  <si>
    <t>Julio</t>
  </si>
  <si>
    <t>Edison</t>
  </si>
  <si>
    <t>Jame</t>
  </si>
  <si>
    <t>Tuan</t>
  </si>
  <si>
    <t>Arnulfo</t>
  </si>
  <si>
    <t>Mose</t>
  </si>
  <si>
    <t>Leland</t>
  </si>
  <si>
    <t>Abram</t>
  </si>
  <si>
    <t>Douglass</t>
  </si>
  <si>
    <t>Marquis</t>
  </si>
  <si>
    <t>Brant</t>
  </si>
  <si>
    <t>Erick</t>
  </si>
  <si>
    <t>Larry</t>
  </si>
  <si>
    <t>Everette</t>
  </si>
  <si>
    <t>Lucius</t>
  </si>
  <si>
    <t>Ramiro</t>
  </si>
  <si>
    <t>Branden</t>
  </si>
  <si>
    <t>Cristobal</t>
  </si>
  <si>
    <t>Joey</t>
  </si>
  <si>
    <t>Hipolito</t>
  </si>
  <si>
    <t>Garth</t>
  </si>
  <si>
    <t>Refugio</t>
  </si>
  <si>
    <t/>
  </si>
  <si>
    <t>a</t>
  </si>
  <si>
    <t>b</t>
  </si>
  <si>
    <t>c</t>
  </si>
  <si>
    <t>d</t>
  </si>
  <si>
    <t>A1</t>
  </si>
  <si>
    <t>A2</t>
  </si>
  <si>
    <t>A3</t>
  </si>
  <si>
    <t>B1</t>
  </si>
  <si>
    <t>B2</t>
  </si>
  <si>
    <t>B3</t>
  </si>
  <si>
    <t>C1</t>
  </si>
  <si>
    <t>C2</t>
  </si>
  <si>
    <t>C3</t>
  </si>
  <si>
    <t>D1</t>
  </si>
  <si>
    <t>A</t>
  </si>
  <si>
    <t>B</t>
  </si>
  <si>
    <t>C</t>
  </si>
  <si>
    <t>C4</t>
  </si>
  <si>
    <t>C5</t>
  </si>
  <si>
    <t>D</t>
  </si>
  <si>
    <t>D2</t>
  </si>
  <si>
    <t>D3</t>
  </si>
  <si>
    <t>D4</t>
  </si>
  <si>
    <t>E</t>
  </si>
  <si>
    <t>E1</t>
  </si>
  <si>
    <t>E2</t>
  </si>
  <si>
    <t>K</t>
  </si>
  <si>
    <t>L</t>
  </si>
  <si>
    <t>M</t>
  </si>
  <si>
    <t>F</t>
  </si>
  <si>
    <t>Sex</t>
  </si>
  <si>
    <t>Student_ID</t>
  </si>
  <si>
    <t>Date_of_Birth</t>
  </si>
  <si>
    <t>Contact_Number</t>
  </si>
  <si>
    <t>Last_Name</t>
  </si>
  <si>
    <t>First_Name</t>
  </si>
  <si>
    <t>Full_Address</t>
  </si>
  <si>
    <t>Co</t>
  </si>
  <si>
    <t>Introduction to Programming I - Structured Programming </t>
  </si>
  <si>
    <t>Discrete Structures </t>
  </si>
  <si>
    <t>Composition I </t>
  </si>
  <si>
    <t>ENG 101</t>
  </si>
  <si>
    <t>CS 180</t>
  </si>
  <si>
    <t>CS 105</t>
  </si>
  <si>
    <t>ECO 110</t>
  </si>
  <si>
    <t>Calculus I for Science and Engineering </t>
  </si>
  <si>
    <t>Composition II </t>
  </si>
  <si>
    <t>Introduction to Programming II- Object oriented programming </t>
  </si>
  <si>
    <t>Digital Media Toolkit </t>
  </si>
  <si>
    <t>ENG 102</t>
  </si>
  <si>
    <t>CS 106</t>
  </si>
  <si>
    <t>CS 107</t>
  </si>
  <si>
    <t>The Modern World </t>
  </si>
  <si>
    <t>HIS 120</t>
  </si>
  <si>
    <t>ART 120</t>
  </si>
  <si>
    <t>Art Appreciation: Principles of Design </t>
  </si>
  <si>
    <t>Po</t>
  </si>
  <si>
    <t>Introduction to Philosophy and Critical Reasoning </t>
  </si>
  <si>
    <t>PHIL 101</t>
  </si>
  <si>
    <t>POL 101</t>
  </si>
  <si>
    <t>Contemporary Politics </t>
  </si>
  <si>
    <t>CS 205</t>
  </si>
  <si>
    <t>Business Data Management </t>
  </si>
  <si>
    <t>CS 215</t>
  </si>
  <si>
    <t>Data Structures </t>
  </si>
  <si>
    <t>MATH 120</t>
  </si>
  <si>
    <t>FALL 2022</t>
  </si>
  <si>
    <t>FALL 2023</t>
  </si>
  <si>
    <t>SPRING I</t>
  </si>
  <si>
    <t>SPRING II</t>
  </si>
  <si>
    <t>Course_ID</t>
  </si>
  <si>
    <t>Course_Title</t>
  </si>
  <si>
    <t>Semester</t>
  </si>
  <si>
    <t>Credits</t>
  </si>
  <si>
    <t xml:space="preserve">Ecological Principles </t>
  </si>
  <si>
    <t>Humanities and Social Sciences</t>
  </si>
  <si>
    <t>Science and Technology</t>
  </si>
  <si>
    <t>Professor_ID</t>
  </si>
  <si>
    <t>Division</t>
  </si>
  <si>
    <t>Email</t>
  </si>
  <si>
    <t>Blog Exercise</t>
  </si>
  <si>
    <t>In-Class Essay</t>
  </si>
  <si>
    <t>Assign_Test_Title</t>
  </si>
  <si>
    <t>Course Project</t>
  </si>
  <si>
    <t>Research Project</t>
  </si>
  <si>
    <t>Photoshop Project</t>
  </si>
  <si>
    <t>Video Project</t>
  </si>
  <si>
    <t>Midterm Research Project</t>
  </si>
  <si>
    <t>Lab Project</t>
  </si>
  <si>
    <t>Presentation Research Project</t>
  </si>
  <si>
    <t>Algorithm Presentation Project</t>
  </si>
  <si>
    <t>Course Research Project</t>
  </si>
  <si>
    <t>Presentation Project</t>
  </si>
  <si>
    <t>Midterm Project</t>
  </si>
  <si>
    <t>Title</t>
  </si>
  <si>
    <t>Calculated_Weight</t>
  </si>
  <si>
    <t>Midterm Exam</t>
  </si>
  <si>
    <t>Date</t>
  </si>
  <si>
    <t>Grade</t>
  </si>
  <si>
    <t>Date_Delivered</t>
  </si>
  <si>
    <t>Asign_ID</t>
  </si>
  <si>
    <t>In-Class Test</t>
  </si>
  <si>
    <t>Project_ID</t>
  </si>
  <si>
    <t>Finals_ID</t>
  </si>
  <si>
    <t>Essay 1</t>
  </si>
  <si>
    <t>Essay 2</t>
  </si>
  <si>
    <t>Essay 3</t>
  </si>
  <si>
    <t>Essay 4</t>
  </si>
  <si>
    <t>Test 1</t>
  </si>
  <si>
    <t>Test 2</t>
  </si>
  <si>
    <t>Test 3</t>
  </si>
  <si>
    <t>Test 4</t>
  </si>
  <si>
    <t>Assign_ID</t>
  </si>
  <si>
    <t>Grades</t>
  </si>
  <si>
    <t>Dates</t>
  </si>
  <si>
    <t>Nationality</t>
  </si>
  <si>
    <t>Greece</t>
  </si>
  <si>
    <t>Albania</t>
  </si>
  <si>
    <t>Bulgaria</t>
  </si>
  <si>
    <t xml:space="preserve">North Macedonia </t>
  </si>
  <si>
    <t>Kosovo</t>
  </si>
  <si>
    <t>Serbia</t>
  </si>
  <si>
    <t>U.S.A.</t>
  </si>
  <si>
    <t>Armenia</t>
  </si>
  <si>
    <t>Georgia</t>
  </si>
  <si>
    <t>Maroco</t>
  </si>
  <si>
    <t>Romania</t>
  </si>
  <si>
    <t>String</t>
  </si>
  <si>
    <t>Number</t>
  </si>
  <si>
    <t>PROF-1</t>
  </si>
  <si>
    <t>PROF-12</t>
  </si>
  <si>
    <t>PROF-3</t>
  </si>
  <si>
    <t>PROF-2</t>
  </si>
  <si>
    <t>PROF-4</t>
  </si>
  <si>
    <t>PROF-5</t>
  </si>
  <si>
    <t>PROF-6</t>
  </si>
  <si>
    <t>PROF-7</t>
  </si>
  <si>
    <t>PROF-8</t>
  </si>
  <si>
    <t>PROF-9</t>
  </si>
  <si>
    <t>PROF-10</t>
  </si>
  <si>
    <t>PROF-11</t>
  </si>
  <si>
    <t>PROF-13</t>
  </si>
  <si>
    <t>Due_Date</t>
  </si>
  <si>
    <t>Midterms_ID</t>
  </si>
  <si>
    <t>Full_Name</t>
  </si>
  <si>
    <t>Jay Burrell</t>
  </si>
  <si>
    <t>Oneil Orfeo, 23</t>
  </si>
  <si>
    <t>Nicol Taylor</t>
  </si>
  <si>
    <t>Richey Hai, 66</t>
  </si>
  <si>
    <t>Toby Perry</t>
  </si>
  <si>
    <t>Milton Malcom, 44</t>
  </si>
  <si>
    <t>Lauryn Ly</t>
  </si>
  <si>
    <t>Herzog Ricardo, 95</t>
  </si>
  <si>
    <t>Avis Rosenkrantz</t>
  </si>
  <si>
    <t>Salinas Scottie, 43</t>
  </si>
  <si>
    <t>Consuela Givens</t>
  </si>
  <si>
    <t>Pinto Jospeh, 19</t>
  </si>
  <si>
    <t>Claude Gregg</t>
  </si>
  <si>
    <t>Roland Marlin, 31</t>
  </si>
  <si>
    <t>Artie Sheldon</t>
  </si>
  <si>
    <t>Combs Edvard, 88</t>
  </si>
  <si>
    <t>Chip Barry</t>
  </si>
  <si>
    <t>Duffy Louis, 18</t>
  </si>
  <si>
    <t>Willian Rose</t>
  </si>
  <si>
    <t>Fraser Hugo, 31</t>
  </si>
  <si>
    <t>Pedro Summers</t>
  </si>
  <si>
    <t>Cain Quinn, 10</t>
  </si>
  <si>
    <t>Halle Clifton</t>
  </si>
  <si>
    <t>Landis Kelly, 30</t>
  </si>
  <si>
    <t>Glenna Medina</t>
  </si>
  <si>
    <t>Serna Ignacio, 46</t>
  </si>
  <si>
    <t>Alyson Hardy</t>
  </si>
  <si>
    <t>Carlton Brad, 24</t>
  </si>
  <si>
    <t>Nicky Galis</t>
  </si>
  <si>
    <t>Pike Dave, 90</t>
  </si>
  <si>
    <t>Ector Ericson</t>
  </si>
  <si>
    <t>Travis Galen, 86</t>
  </si>
  <si>
    <t>Elmer Shirley</t>
  </si>
  <si>
    <t>Moody Millard, 2</t>
  </si>
  <si>
    <t>Michal Cortes</t>
  </si>
  <si>
    <t>Stover Sang, 9</t>
  </si>
  <si>
    <t>Angela Haywood</t>
  </si>
  <si>
    <t>Stabler Ray, 22</t>
  </si>
  <si>
    <t>Sonny Richmond</t>
  </si>
  <si>
    <t>Oneal Shane, 37</t>
  </si>
  <si>
    <t>Silva@act.edu</t>
  </si>
  <si>
    <t>Cheney@act.edu</t>
  </si>
  <si>
    <t>Galis@act.edu</t>
  </si>
  <si>
    <t>Stokes@act.edu</t>
  </si>
  <si>
    <t>Greco@act.edu</t>
  </si>
  <si>
    <t>Charles@act.edu</t>
  </si>
  <si>
    <t>Ball@act.edu</t>
  </si>
  <si>
    <t>Zimmer@act.edu</t>
  </si>
  <si>
    <t>Honeywell@act.edu</t>
  </si>
  <si>
    <t>Dahl@act.edu</t>
  </si>
  <si>
    <t>Garrison@act.edu</t>
  </si>
  <si>
    <t>Womack@act.edu</t>
  </si>
  <si>
    <t>Foley@act.edu</t>
  </si>
  <si>
    <t>P-0965</t>
  </si>
  <si>
    <t>P-0416</t>
  </si>
  <si>
    <t>P-0834</t>
  </si>
  <si>
    <t>P-0665</t>
  </si>
  <si>
    <t>P-0683</t>
  </si>
  <si>
    <t>P-0575</t>
  </si>
  <si>
    <t>P-0699</t>
  </si>
  <si>
    <t>P-0092</t>
  </si>
  <si>
    <t>P-0642</t>
  </si>
  <si>
    <t>P-0556</t>
  </si>
  <si>
    <t>P-0831</t>
  </si>
  <si>
    <t>P-0722</t>
  </si>
  <si>
    <t>P-0745</t>
  </si>
  <si>
    <t>P-0579</t>
  </si>
  <si>
    <t>F-0287</t>
  </si>
  <si>
    <t>F-0587</t>
  </si>
  <si>
    <t>F-0443</t>
  </si>
  <si>
    <t>F-0771</t>
  </si>
  <si>
    <t>F-0080</t>
  </si>
  <si>
    <t>F-0106</t>
  </si>
  <si>
    <t>F-0663</t>
  </si>
  <si>
    <t>F-0740</t>
  </si>
  <si>
    <t>F-0603</t>
  </si>
  <si>
    <t>F-0428</t>
  </si>
  <si>
    <t>F-0732</t>
  </si>
  <si>
    <t>PROF-14</t>
  </si>
  <si>
    <t>Mary@act.edu</t>
  </si>
  <si>
    <t>M-1</t>
  </si>
  <si>
    <t>M-2</t>
  </si>
  <si>
    <t>M-3</t>
  </si>
  <si>
    <t>M-4</t>
  </si>
  <si>
    <t>M-5</t>
  </si>
  <si>
    <t>M-6</t>
  </si>
  <si>
    <t>Supervisor_ID</t>
  </si>
  <si>
    <t>Grade_Percent</t>
  </si>
  <si>
    <t>Grade_Percient</t>
  </si>
  <si>
    <t>GPA</t>
  </si>
  <si>
    <t>Sonnia Dimitriadou</t>
  </si>
  <si>
    <t>Samara Lewis, 58</t>
  </si>
  <si>
    <t>Absences</t>
  </si>
  <si>
    <t>Status</t>
  </si>
  <si>
    <t>ACTIVE</t>
  </si>
  <si>
    <t>INACTIVE</t>
  </si>
  <si>
    <t>Ioannis Papadopoulos</t>
  </si>
  <si>
    <t>Dimitriou Stamatiou, 74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</si>
</sst>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4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sz val="10"/>
      <name val="Arial"/>
      <family val="2"/>
      <charset val="161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8"/>
      <name val="Arial"/>
      <family val="2"/>
      <charset val="161"/>
    </font>
    <font>
      <sz val="10"/>
      <name val="Arial"/>
      <family val="2"/>
    </font>
    <font>
      <sz val="12"/>
      <color rgb="FF333439"/>
      <name val="Ubuntu"/>
    </font>
    <font>
      <sz val="14"/>
      <color rgb="FF6F727D"/>
      <name val="Ubuntu"/>
    </font>
    <font>
      <sz val="14"/>
      <color rgb="FF6F727D"/>
      <name val="Ubuntu"/>
    </font>
    <font>
      <sz val="20"/>
      <color rgb="FFFFFFFF"/>
      <name val="Ubuntu"/>
    </font>
    <font>
      <sz val="8"/>
      <name val="Arial"/>
      <family val="2"/>
    </font>
    <font>
      <b/>
      <u/>
      <sz val="11"/>
      <name val="Arial"/>
      <family val="2"/>
    </font>
    <font>
      <b/>
      <sz val="11"/>
      <name val="Arial"/>
      <family val="2"/>
    </font>
    <font>
      <b/>
      <u/>
      <sz val="10"/>
      <name val="Arial"/>
      <family val="2"/>
    </font>
    <font>
      <b/>
      <sz val="10"/>
      <name val="Arial"/>
      <family val="2"/>
    </font>
    <font>
      <u/>
      <sz val="10"/>
      <name val="Arial"/>
      <family val="2"/>
    </font>
  </fonts>
  <fills count="26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</fills>
  <borders count="18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6">
    <xf numFmtId="0" fontId="0" fillId="0" borderId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4" fillId="6" borderId="0" applyNumberFormat="0" applyBorder="0" applyAlignment="0" applyProtection="0"/>
    <xf numFmtId="0" fontId="4" fillId="7" borderId="0" applyNumberFormat="0" applyBorder="0" applyAlignment="0" applyProtection="0"/>
    <xf numFmtId="0" fontId="4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5" borderId="0" applyNumberFormat="0" applyBorder="0" applyAlignment="0" applyProtection="0"/>
    <xf numFmtId="0" fontId="4" fillId="8" borderId="0" applyNumberFormat="0" applyBorder="0" applyAlignment="0" applyProtection="0"/>
    <xf numFmtId="0" fontId="4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9" borderId="0" applyNumberFormat="0" applyBorder="0" applyAlignment="0" applyProtection="0"/>
    <xf numFmtId="0" fontId="6" fillId="3" borderId="0" applyNumberFormat="0" applyBorder="0" applyAlignment="0" applyProtection="0"/>
    <xf numFmtId="0" fontId="7" fillId="20" borderId="1" applyNumberFormat="0" applyAlignment="0" applyProtection="0"/>
    <xf numFmtId="0" fontId="8" fillId="21" borderId="2" applyNumberFormat="0" applyAlignment="0" applyProtection="0"/>
    <xf numFmtId="0" fontId="9" fillId="0" borderId="0" applyNumberFormat="0" applyFill="0" applyBorder="0" applyAlignment="0" applyProtection="0"/>
    <xf numFmtId="0" fontId="10" fillId="4" borderId="0" applyNumberFormat="0" applyBorder="0" applyAlignment="0" applyProtection="0"/>
    <xf numFmtId="0" fontId="11" fillId="0" borderId="3" applyNumberFormat="0" applyFill="0" applyAlignment="0" applyProtection="0"/>
    <xf numFmtId="0" fontId="12" fillId="0" borderId="4" applyNumberFormat="0" applyFill="0" applyAlignment="0" applyProtection="0"/>
    <xf numFmtId="0" fontId="13" fillId="0" borderId="5" applyNumberFormat="0" applyFill="0" applyAlignment="0" applyProtection="0"/>
    <xf numFmtId="0" fontId="13" fillId="0" borderId="0" applyNumberFormat="0" applyFill="0" applyBorder="0" applyAlignment="0" applyProtection="0"/>
    <xf numFmtId="0" fontId="14" fillId="7" borderId="1" applyNumberFormat="0" applyAlignment="0" applyProtection="0"/>
    <xf numFmtId="0" fontId="15" fillId="0" borderId="6" applyNumberFormat="0" applyFill="0" applyAlignment="0" applyProtection="0"/>
    <xf numFmtId="0" fontId="16" fillId="22" borderId="0" applyNumberFormat="0" applyBorder="0" applyAlignment="0" applyProtection="0"/>
    <xf numFmtId="0" fontId="17" fillId="23" borderId="7" applyNumberFormat="0" applyFont="0" applyAlignment="0" applyProtection="0"/>
    <xf numFmtId="0" fontId="18" fillId="20" borderId="8" applyNumberFormat="0" applyAlignment="0" applyProtection="0"/>
    <xf numFmtId="0" fontId="19" fillId="0" borderId="0" applyNumberFormat="0" applyFill="0" applyBorder="0" applyAlignment="0" applyProtection="0"/>
    <xf numFmtId="0" fontId="20" fillId="0" borderId="9" applyNumberFormat="0" applyFill="0" applyAlignment="0" applyProtection="0"/>
    <xf numFmtId="0" fontId="21" fillId="0" borderId="0" applyNumberFormat="0" applyFill="0" applyBorder="0" applyAlignment="0" applyProtection="0"/>
    <xf numFmtId="0" fontId="17" fillId="0" borderId="0"/>
    <xf numFmtId="9" fontId="23" fillId="0" borderId="0" applyFont="0" applyFill="0" applyBorder="0" applyAlignment="0" applyProtection="0"/>
    <xf numFmtId="0" fontId="3" fillId="0" borderId="0"/>
    <xf numFmtId="9" fontId="3" fillId="0" borderId="0" applyFont="0" applyFill="0" applyBorder="0" applyAlignment="0" applyProtection="0"/>
  </cellStyleXfs>
  <cellXfs count="38">
    <xf numFmtId="0" fontId="0" fillId="0" borderId="0" xfId="0"/>
    <xf numFmtId="0" fontId="3" fillId="0" borderId="0" xfId="44"/>
    <xf numFmtId="0" fontId="3" fillId="0" borderId="10" xfId="44" applyBorder="1"/>
    <xf numFmtId="0" fontId="3" fillId="0" borderId="11" xfId="44" applyBorder="1"/>
    <xf numFmtId="0" fontId="3" fillId="0" borderId="12" xfId="44" applyBorder="1"/>
    <xf numFmtId="0" fontId="3" fillId="0" borderId="13" xfId="44" applyBorder="1"/>
    <xf numFmtId="0" fontId="2" fillId="0" borderId="0" xfId="44" applyFont="1"/>
    <xf numFmtId="0" fontId="3" fillId="24" borderId="0" xfId="44" applyFill="1"/>
    <xf numFmtId="0" fontId="3" fillId="25" borderId="0" xfId="44" applyFill="1"/>
    <xf numFmtId="0" fontId="3" fillId="0" borderId="14" xfId="44" applyBorder="1"/>
    <xf numFmtId="0" fontId="3" fillId="0" borderId="15" xfId="44" applyBorder="1"/>
    <xf numFmtId="0" fontId="3" fillId="0" borderId="16" xfId="44" applyBorder="1"/>
    <xf numFmtId="0" fontId="3" fillId="0" borderId="17" xfId="44" applyBorder="1"/>
    <xf numFmtId="0" fontId="1" fillId="0" borderId="0" xfId="44" applyFont="1"/>
    <xf numFmtId="0" fontId="23" fillId="0" borderId="0" xfId="0" applyFont="1"/>
    <xf numFmtId="0" fontId="24" fillId="0" borderId="0" xfId="0" applyFont="1"/>
    <xf numFmtId="0" fontId="25" fillId="0" borderId="0" xfId="0" applyFont="1"/>
    <xf numFmtId="0" fontId="26" fillId="0" borderId="0" xfId="0" applyFont="1"/>
    <xf numFmtId="0" fontId="27" fillId="0" borderId="0" xfId="0" applyFont="1"/>
    <xf numFmtId="0" fontId="29" fillId="0" borderId="0" xfId="0" applyFont="1"/>
    <xf numFmtId="0" fontId="30" fillId="0" borderId="0" xfId="0" applyFont="1"/>
    <xf numFmtId="0" fontId="31" fillId="0" borderId="0" xfId="0" applyFont="1"/>
    <xf numFmtId="0" fontId="32" fillId="0" borderId="0" xfId="0" applyFont="1"/>
    <xf numFmtId="0" fontId="33" fillId="0" borderId="0" xfId="0" applyFont="1"/>
    <xf numFmtId="14" fontId="0" fillId="0" borderId="0" xfId="0" applyNumberFormat="1" applyAlignment="1">
      <alignment horizontal="left"/>
    </xf>
    <xf numFmtId="0" fontId="23" fillId="0" borderId="0" xfId="0" applyFont="1" applyAlignment="1">
      <alignment horizontal="left"/>
    </xf>
    <xf numFmtId="0" fontId="32" fillId="0" borderId="0" xfId="0" applyFont="1" applyAlignment="1">
      <alignment horizontal="center"/>
    </xf>
    <xf numFmtId="0" fontId="0" fillId="0" borderId="0" xfId="0" applyAlignment="1">
      <alignment horizontal="left"/>
    </xf>
    <xf numFmtId="0" fontId="31" fillId="0" borderId="0" xfId="0" applyFont="1" applyAlignment="1">
      <alignment horizontal="left"/>
    </xf>
    <xf numFmtId="0" fontId="33" fillId="0" borderId="0" xfId="0" applyFont="1" applyAlignment="1">
      <alignment horizontal="left"/>
    </xf>
    <xf numFmtId="0" fontId="32" fillId="0" borderId="0" xfId="0" applyFont="1" applyAlignment="1">
      <alignment horizontal="left"/>
    </xf>
    <xf numFmtId="14" fontId="23" fillId="0" borderId="0" xfId="0" applyNumberFormat="1" applyFont="1" applyAlignment="1">
      <alignment horizontal="left"/>
    </xf>
    <xf numFmtId="0" fontId="0" fillId="0" borderId="0" xfId="0" applyAlignment="1">
      <alignment horizontal="center"/>
    </xf>
    <xf numFmtId="0" fontId="30" fillId="0" borderId="0" xfId="0" applyFont="1" applyAlignment="1">
      <alignment horizontal="center"/>
    </xf>
    <xf numFmtId="0" fontId="33" fillId="0" borderId="0" xfId="0" applyFont="1" applyAlignment="1">
      <alignment horizontal="center"/>
    </xf>
    <xf numFmtId="14" fontId="0" fillId="0" borderId="0" xfId="0" applyNumberFormat="1" applyAlignment="1">
      <alignment horizontal="center"/>
    </xf>
    <xf numFmtId="14" fontId="23" fillId="0" borderId="0" xfId="0" applyNumberFormat="1" applyFont="1" applyAlignment="1">
      <alignment horizontal="center"/>
    </xf>
    <xf numFmtId="0" fontId="23" fillId="0" borderId="0" xfId="0" applyFont="1" applyAlignment="1">
      <alignment horizontal="center"/>
    </xf>
  </cellXfs>
  <cellStyles count="46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42" xr:uid="{00000000-0005-0000-0000-000025000000}"/>
    <cellStyle name="Normal 3" xfId="44" xr:uid="{00000000-0005-0000-0000-000026000000}"/>
    <cellStyle name="Note" xfId="37" builtinId="10" customBuiltin="1"/>
    <cellStyle name="Output" xfId="38" builtinId="21" customBuiltin="1"/>
    <cellStyle name="Percent 2" xfId="43" xr:uid="{00000000-0005-0000-0000-000029000000}"/>
    <cellStyle name="Percent 3" xfId="45" xr:uid="{00000000-0005-0000-0000-00002A000000}"/>
    <cellStyle name="Title" xfId="39" builtinId="15" customBuiltin="1"/>
    <cellStyle name="Total" xfId="40" builtinId="25" customBuiltin="1"/>
    <cellStyle name="Warning Text" xfId="41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2421"/>
  <sheetViews>
    <sheetView topLeftCell="A2375" workbookViewId="0">
      <selection activeCell="F1" sqref="F1:F2421"/>
    </sheetView>
  </sheetViews>
  <sheetFormatPr baseColWidth="10" defaultColWidth="8.83203125" defaultRowHeight="13" x14ac:dyDescent="0.15"/>
  <sheetData>
    <row r="1" spans="1:6" x14ac:dyDescent="0.15">
      <c r="A1" t="s">
        <v>0</v>
      </c>
      <c r="C1" t="s">
        <v>862</v>
      </c>
      <c r="F1" t="s">
        <v>243</v>
      </c>
    </row>
    <row r="2" spans="1:6" x14ac:dyDescent="0.15">
      <c r="A2" t="s">
        <v>1</v>
      </c>
      <c r="C2" t="s">
        <v>863</v>
      </c>
      <c r="F2" t="s">
        <v>244</v>
      </c>
    </row>
    <row r="3" spans="1:6" x14ac:dyDescent="0.15">
      <c r="A3" t="s">
        <v>2</v>
      </c>
      <c r="C3" t="s">
        <v>864</v>
      </c>
      <c r="F3" t="s">
        <v>245</v>
      </c>
    </row>
    <row r="4" spans="1:6" x14ac:dyDescent="0.15">
      <c r="A4" t="s">
        <v>3</v>
      </c>
      <c r="C4" t="s">
        <v>865</v>
      </c>
      <c r="F4" t="s">
        <v>246</v>
      </c>
    </row>
    <row r="5" spans="1:6" x14ac:dyDescent="0.15">
      <c r="A5" t="s">
        <v>4</v>
      </c>
      <c r="C5" t="s">
        <v>866</v>
      </c>
      <c r="F5" t="s">
        <v>247</v>
      </c>
    </row>
    <row r="6" spans="1:6" x14ac:dyDescent="0.15">
      <c r="A6" t="s">
        <v>5</v>
      </c>
      <c r="C6" t="s">
        <v>867</v>
      </c>
      <c r="F6" t="s">
        <v>248</v>
      </c>
    </row>
    <row r="7" spans="1:6" x14ac:dyDescent="0.15">
      <c r="A7" t="s">
        <v>6</v>
      </c>
      <c r="C7" t="s">
        <v>868</v>
      </c>
      <c r="F7" t="s">
        <v>249</v>
      </c>
    </row>
    <row r="8" spans="1:6" x14ac:dyDescent="0.15">
      <c r="A8" t="s">
        <v>7</v>
      </c>
      <c r="C8" t="s">
        <v>869</v>
      </c>
      <c r="F8" t="s">
        <v>250</v>
      </c>
    </row>
    <row r="9" spans="1:6" x14ac:dyDescent="0.15">
      <c r="A9" t="s">
        <v>8</v>
      </c>
      <c r="C9" t="s">
        <v>870</v>
      </c>
      <c r="F9" t="s">
        <v>251</v>
      </c>
    </row>
    <row r="10" spans="1:6" x14ac:dyDescent="0.15">
      <c r="A10" t="s">
        <v>9</v>
      </c>
      <c r="C10" t="s">
        <v>871</v>
      </c>
      <c r="F10" t="s">
        <v>252</v>
      </c>
    </row>
    <row r="11" spans="1:6" x14ac:dyDescent="0.15">
      <c r="A11" t="s">
        <v>10</v>
      </c>
      <c r="C11" t="s">
        <v>872</v>
      </c>
      <c r="F11" t="s">
        <v>253</v>
      </c>
    </row>
    <row r="12" spans="1:6" x14ac:dyDescent="0.15">
      <c r="A12" t="s">
        <v>11</v>
      </c>
      <c r="C12" t="s">
        <v>873</v>
      </c>
      <c r="F12" t="s">
        <v>254</v>
      </c>
    </row>
    <row r="13" spans="1:6" x14ac:dyDescent="0.15">
      <c r="A13" t="s">
        <v>12</v>
      </c>
      <c r="C13" t="s">
        <v>874</v>
      </c>
      <c r="F13" t="s">
        <v>255</v>
      </c>
    </row>
    <row r="14" spans="1:6" x14ac:dyDescent="0.15">
      <c r="A14" t="s">
        <v>13</v>
      </c>
      <c r="C14" t="s">
        <v>875</v>
      </c>
      <c r="F14" t="s">
        <v>256</v>
      </c>
    </row>
    <row r="15" spans="1:6" x14ac:dyDescent="0.15">
      <c r="A15" t="s">
        <v>14</v>
      </c>
      <c r="C15" t="s">
        <v>876</v>
      </c>
      <c r="F15" t="s">
        <v>257</v>
      </c>
    </row>
    <row r="16" spans="1:6" x14ac:dyDescent="0.15">
      <c r="A16" t="s">
        <v>15</v>
      </c>
      <c r="C16" t="s">
        <v>877</v>
      </c>
      <c r="F16" t="s">
        <v>258</v>
      </c>
    </row>
    <row r="17" spans="1:6" x14ac:dyDescent="0.15">
      <c r="A17" t="s">
        <v>16</v>
      </c>
      <c r="C17" t="s">
        <v>878</v>
      </c>
      <c r="F17" t="s">
        <v>259</v>
      </c>
    </row>
    <row r="18" spans="1:6" x14ac:dyDescent="0.15">
      <c r="A18" t="s">
        <v>17</v>
      </c>
      <c r="C18" t="s">
        <v>879</v>
      </c>
      <c r="F18" t="s">
        <v>260</v>
      </c>
    </row>
    <row r="19" spans="1:6" x14ac:dyDescent="0.15">
      <c r="A19" t="s">
        <v>18</v>
      </c>
      <c r="C19" t="s">
        <v>880</v>
      </c>
      <c r="F19" t="s">
        <v>261</v>
      </c>
    </row>
    <row r="20" spans="1:6" x14ac:dyDescent="0.15">
      <c r="A20" t="s">
        <v>19</v>
      </c>
      <c r="C20" t="s">
        <v>881</v>
      </c>
      <c r="F20" t="s">
        <v>262</v>
      </c>
    </row>
    <row r="21" spans="1:6" x14ac:dyDescent="0.15">
      <c r="A21" t="s">
        <v>20</v>
      </c>
      <c r="C21" t="s">
        <v>882</v>
      </c>
      <c r="F21" t="s">
        <v>263</v>
      </c>
    </row>
    <row r="22" spans="1:6" x14ac:dyDescent="0.15">
      <c r="A22" t="s">
        <v>21</v>
      </c>
      <c r="C22" t="s">
        <v>883</v>
      </c>
      <c r="F22" t="s">
        <v>264</v>
      </c>
    </row>
    <row r="23" spans="1:6" x14ac:dyDescent="0.15">
      <c r="A23" t="s">
        <v>22</v>
      </c>
      <c r="C23" t="s">
        <v>884</v>
      </c>
      <c r="F23" t="s">
        <v>265</v>
      </c>
    </row>
    <row r="24" spans="1:6" x14ac:dyDescent="0.15">
      <c r="A24" t="s">
        <v>23</v>
      </c>
      <c r="C24" t="s">
        <v>885</v>
      </c>
      <c r="F24" t="s">
        <v>266</v>
      </c>
    </row>
    <row r="25" spans="1:6" x14ac:dyDescent="0.15">
      <c r="A25" t="s">
        <v>24</v>
      </c>
      <c r="C25" t="s">
        <v>886</v>
      </c>
      <c r="F25" t="s">
        <v>267</v>
      </c>
    </row>
    <row r="26" spans="1:6" x14ac:dyDescent="0.15">
      <c r="A26" t="s">
        <v>25</v>
      </c>
      <c r="C26" t="s">
        <v>887</v>
      </c>
      <c r="F26" t="s">
        <v>268</v>
      </c>
    </row>
    <row r="27" spans="1:6" x14ac:dyDescent="0.15">
      <c r="A27" t="s">
        <v>26</v>
      </c>
      <c r="C27" t="s">
        <v>888</v>
      </c>
      <c r="F27" t="s">
        <v>269</v>
      </c>
    </row>
    <row r="28" spans="1:6" x14ac:dyDescent="0.15">
      <c r="A28" t="s">
        <v>27</v>
      </c>
      <c r="C28" t="s">
        <v>889</v>
      </c>
      <c r="F28" t="s">
        <v>270</v>
      </c>
    </row>
    <row r="29" spans="1:6" x14ac:dyDescent="0.15">
      <c r="A29" t="s">
        <v>28</v>
      </c>
      <c r="C29" t="s">
        <v>890</v>
      </c>
      <c r="F29" t="s">
        <v>271</v>
      </c>
    </row>
    <row r="30" spans="1:6" x14ac:dyDescent="0.15">
      <c r="A30" t="s">
        <v>29</v>
      </c>
      <c r="C30" t="s">
        <v>891</v>
      </c>
      <c r="F30" t="s">
        <v>272</v>
      </c>
    </row>
    <row r="31" spans="1:6" x14ac:dyDescent="0.15">
      <c r="A31" t="s">
        <v>30</v>
      </c>
      <c r="C31" t="s">
        <v>892</v>
      </c>
      <c r="F31" t="s">
        <v>273</v>
      </c>
    </row>
    <row r="32" spans="1:6" x14ac:dyDescent="0.15">
      <c r="A32" t="s">
        <v>31</v>
      </c>
      <c r="C32" t="s">
        <v>893</v>
      </c>
      <c r="F32" t="s">
        <v>229</v>
      </c>
    </row>
    <row r="33" spans="1:6" x14ac:dyDescent="0.15">
      <c r="A33" t="s">
        <v>32</v>
      </c>
      <c r="C33" t="s">
        <v>894</v>
      </c>
      <c r="F33" t="s">
        <v>274</v>
      </c>
    </row>
    <row r="34" spans="1:6" x14ac:dyDescent="0.15">
      <c r="A34" t="s">
        <v>33</v>
      </c>
      <c r="C34" t="s">
        <v>895</v>
      </c>
      <c r="F34" t="s">
        <v>275</v>
      </c>
    </row>
    <row r="35" spans="1:6" x14ac:dyDescent="0.15">
      <c r="A35" t="s">
        <v>34</v>
      </c>
      <c r="C35" t="s">
        <v>896</v>
      </c>
      <c r="F35" t="s">
        <v>276</v>
      </c>
    </row>
    <row r="36" spans="1:6" x14ac:dyDescent="0.15">
      <c r="A36" t="s">
        <v>35</v>
      </c>
      <c r="C36" t="s">
        <v>897</v>
      </c>
      <c r="F36" t="s">
        <v>277</v>
      </c>
    </row>
    <row r="37" spans="1:6" x14ac:dyDescent="0.15">
      <c r="A37" t="s">
        <v>36</v>
      </c>
      <c r="C37" t="s">
        <v>898</v>
      </c>
      <c r="F37" t="s">
        <v>278</v>
      </c>
    </row>
    <row r="38" spans="1:6" x14ac:dyDescent="0.15">
      <c r="A38" t="s">
        <v>37</v>
      </c>
      <c r="C38" t="s">
        <v>899</v>
      </c>
      <c r="F38" t="s">
        <v>279</v>
      </c>
    </row>
    <row r="39" spans="1:6" x14ac:dyDescent="0.15">
      <c r="A39" t="s">
        <v>38</v>
      </c>
      <c r="C39" t="s">
        <v>900</v>
      </c>
      <c r="F39" t="s">
        <v>280</v>
      </c>
    </row>
    <row r="40" spans="1:6" x14ac:dyDescent="0.15">
      <c r="A40" t="s">
        <v>39</v>
      </c>
      <c r="C40" t="s">
        <v>901</v>
      </c>
      <c r="F40" t="s">
        <v>281</v>
      </c>
    </row>
    <row r="41" spans="1:6" x14ac:dyDescent="0.15">
      <c r="A41" t="s">
        <v>40</v>
      </c>
      <c r="C41" t="s">
        <v>902</v>
      </c>
      <c r="F41" t="s">
        <v>282</v>
      </c>
    </row>
    <row r="42" spans="1:6" x14ac:dyDescent="0.15">
      <c r="A42" t="s">
        <v>41</v>
      </c>
      <c r="C42" t="s">
        <v>903</v>
      </c>
      <c r="F42" t="s">
        <v>283</v>
      </c>
    </row>
    <row r="43" spans="1:6" x14ac:dyDescent="0.15">
      <c r="A43" t="s">
        <v>42</v>
      </c>
      <c r="C43" t="s">
        <v>904</v>
      </c>
      <c r="F43" t="s">
        <v>284</v>
      </c>
    </row>
    <row r="44" spans="1:6" x14ac:dyDescent="0.15">
      <c r="A44" t="s">
        <v>43</v>
      </c>
      <c r="C44" t="s">
        <v>905</v>
      </c>
      <c r="F44" t="s">
        <v>285</v>
      </c>
    </row>
    <row r="45" spans="1:6" x14ac:dyDescent="0.15">
      <c r="A45" t="s">
        <v>44</v>
      </c>
      <c r="C45" t="s">
        <v>906</v>
      </c>
      <c r="F45" t="s">
        <v>286</v>
      </c>
    </row>
    <row r="46" spans="1:6" x14ac:dyDescent="0.15">
      <c r="A46" t="s">
        <v>45</v>
      </c>
      <c r="C46" t="s">
        <v>907</v>
      </c>
      <c r="F46" t="s">
        <v>287</v>
      </c>
    </row>
    <row r="47" spans="1:6" x14ac:dyDescent="0.15">
      <c r="A47" t="s">
        <v>46</v>
      </c>
      <c r="C47" t="s">
        <v>908</v>
      </c>
      <c r="F47" t="s">
        <v>288</v>
      </c>
    </row>
    <row r="48" spans="1:6" x14ac:dyDescent="0.15">
      <c r="A48" t="s">
        <v>47</v>
      </c>
      <c r="C48" t="s">
        <v>909</v>
      </c>
      <c r="F48" t="s">
        <v>289</v>
      </c>
    </row>
    <row r="49" spans="1:6" x14ac:dyDescent="0.15">
      <c r="A49" t="s">
        <v>48</v>
      </c>
      <c r="C49" t="s">
        <v>910</v>
      </c>
      <c r="F49" t="s">
        <v>290</v>
      </c>
    </row>
    <row r="50" spans="1:6" x14ac:dyDescent="0.15">
      <c r="A50" t="s">
        <v>49</v>
      </c>
      <c r="C50" t="s">
        <v>911</v>
      </c>
      <c r="F50" t="s">
        <v>291</v>
      </c>
    </row>
    <row r="51" spans="1:6" x14ac:dyDescent="0.15">
      <c r="A51" t="s">
        <v>50</v>
      </c>
      <c r="C51" t="s">
        <v>912</v>
      </c>
      <c r="F51" t="s">
        <v>292</v>
      </c>
    </row>
    <row r="52" spans="1:6" x14ac:dyDescent="0.15">
      <c r="A52" t="s">
        <v>51</v>
      </c>
      <c r="C52" t="s">
        <v>913</v>
      </c>
      <c r="F52" t="s">
        <v>293</v>
      </c>
    </row>
    <row r="53" spans="1:6" x14ac:dyDescent="0.15">
      <c r="A53" t="s">
        <v>52</v>
      </c>
      <c r="C53" t="s">
        <v>914</v>
      </c>
      <c r="F53" t="s">
        <v>294</v>
      </c>
    </row>
    <row r="54" spans="1:6" x14ac:dyDescent="0.15">
      <c r="A54" t="s">
        <v>53</v>
      </c>
      <c r="C54" t="s">
        <v>915</v>
      </c>
      <c r="F54" t="s">
        <v>295</v>
      </c>
    </row>
    <row r="55" spans="1:6" x14ac:dyDescent="0.15">
      <c r="A55" t="s">
        <v>54</v>
      </c>
      <c r="C55" t="s">
        <v>916</v>
      </c>
      <c r="F55" t="s">
        <v>296</v>
      </c>
    </row>
    <row r="56" spans="1:6" x14ac:dyDescent="0.15">
      <c r="A56" t="s">
        <v>55</v>
      </c>
      <c r="C56" t="s">
        <v>917</v>
      </c>
      <c r="F56" t="s">
        <v>297</v>
      </c>
    </row>
    <row r="57" spans="1:6" x14ac:dyDescent="0.15">
      <c r="A57" t="s">
        <v>56</v>
      </c>
      <c r="C57" t="s">
        <v>918</v>
      </c>
      <c r="F57" t="s">
        <v>298</v>
      </c>
    </row>
    <row r="58" spans="1:6" x14ac:dyDescent="0.15">
      <c r="A58" t="s">
        <v>57</v>
      </c>
      <c r="C58" t="s">
        <v>919</v>
      </c>
      <c r="F58" t="s">
        <v>299</v>
      </c>
    </row>
    <row r="59" spans="1:6" x14ac:dyDescent="0.15">
      <c r="A59" t="s">
        <v>58</v>
      </c>
      <c r="C59" t="s">
        <v>920</v>
      </c>
      <c r="F59" t="s">
        <v>300</v>
      </c>
    </row>
    <row r="60" spans="1:6" x14ac:dyDescent="0.15">
      <c r="A60" t="s">
        <v>59</v>
      </c>
      <c r="C60" t="s">
        <v>921</v>
      </c>
      <c r="F60" t="s">
        <v>301</v>
      </c>
    </row>
    <row r="61" spans="1:6" x14ac:dyDescent="0.15">
      <c r="A61" t="s">
        <v>60</v>
      </c>
      <c r="C61" t="s">
        <v>922</v>
      </c>
      <c r="F61" t="s">
        <v>302</v>
      </c>
    </row>
    <row r="62" spans="1:6" x14ac:dyDescent="0.15">
      <c r="A62" t="s">
        <v>61</v>
      </c>
      <c r="C62" t="s">
        <v>923</v>
      </c>
      <c r="F62" t="s">
        <v>303</v>
      </c>
    </row>
    <row r="63" spans="1:6" x14ac:dyDescent="0.15">
      <c r="A63" t="s">
        <v>62</v>
      </c>
      <c r="C63" t="s">
        <v>924</v>
      </c>
      <c r="F63" t="s">
        <v>304</v>
      </c>
    </row>
    <row r="64" spans="1:6" x14ac:dyDescent="0.15">
      <c r="A64" t="s">
        <v>63</v>
      </c>
      <c r="C64" t="s">
        <v>925</v>
      </c>
      <c r="F64" t="s">
        <v>305</v>
      </c>
    </row>
    <row r="65" spans="1:6" x14ac:dyDescent="0.15">
      <c r="A65" t="s">
        <v>64</v>
      </c>
      <c r="C65" t="s">
        <v>926</v>
      </c>
      <c r="F65" t="s">
        <v>306</v>
      </c>
    </row>
    <row r="66" spans="1:6" x14ac:dyDescent="0.15">
      <c r="A66" t="s">
        <v>65</v>
      </c>
      <c r="C66" t="s">
        <v>927</v>
      </c>
      <c r="F66" t="s">
        <v>307</v>
      </c>
    </row>
    <row r="67" spans="1:6" x14ac:dyDescent="0.15">
      <c r="A67" t="s">
        <v>66</v>
      </c>
      <c r="C67" t="s">
        <v>928</v>
      </c>
      <c r="F67" t="s">
        <v>308</v>
      </c>
    </row>
    <row r="68" spans="1:6" x14ac:dyDescent="0.15">
      <c r="A68" t="s">
        <v>67</v>
      </c>
      <c r="C68" t="s">
        <v>929</v>
      </c>
      <c r="F68" t="s">
        <v>309</v>
      </c>
    </row>
    <row r="69" spans="1:6" x14ac:dyDescent="0.15">
      <c r="A69" t="s">
        <v>68</v>
      </c>
      <c r="C69" t="s">
        <v>930</v>
      </c>
      <c r="F69" t="s">
        <v>310</v>
      </c>
    </row>
    <row r="70" spans="1:6" x14ac:dyDescent="0.15">
      <c r="A70" t="s">
        <v>69</v>
      </c>
      <c r="C70" t="s">
        <v>931</v>
      </c>
      <c r="F70" t="s">
        <v>311</v>
      </c>
    </row>
    <row r="71" spans="1:6" x14ac:dyDescent="0.15">
      <c r="A71" t="s">
        <v>70</v>
      </c>
      <c r="C71" t="s">
        <v>932</v>
      </c>
      <c r="F71" t="s">
        <v>312</v>
      </c>
    </row>
    <row r="72" spans="1:6" x14ac:dyDescent="0.15">
      <c r="A72" t="s">
        <v>71</v>
      </c>
      <c r="C72" t="s">
        <v>933</v>
      </c>
      <c r="F72" t="s">
        <v>313</v>
      </c>
    </row>
    <row r="73" spans="1:6" x14ac:dyDescent="0.15">
      <c r="A73" t="s">
        <v>72</v>
      </c>
      <c r="C73" t="s">
        <v>934</v>
      </c>
      <c r="F73" t="s">
        <v>314</v>
      </c>
    </row>
    <row r="74" spans="1:6" x14ac:dyDescent="0.15">
      <c r="A74" t="s">
        <v>73</v>
      </c>
      <c r="C74" t="s">
        <v>935</v>
      </c>
      <c r="F74" t="s">
        <v>315</v>
      </c>
    </row>
    <row r="75" spans="1:6" x14ac:dyDescent="0.15">
      <c r="A75" t="s">
        <v>74</v>
      </c>
      <c r="C75" t="s">
        <v>936</v>
      </c>
      <c r="F75" t="s">
        <v>316</v>
      </c>
    </row>
    <row r="76" spans="1:6" x14ac:dyDescent="0.15">
      <c r="A76" t="s">
        <v>75</v>
      </c>
      <c r="C76" t="s">
        <v>937</v>
      </c>
      <c r="F76" t="s">
        <v>317</v>
      </c>
    </row>
    <row r="77" spans="1:6" x14ac:dyDescent="0.15">
      <c r="A77" t="s">
        <v>76</v>
      </c>
      <c r="C77" t="s">
        <v>938</v>
      </c>
      <c r="F77" t="s">
        <v>318</v>
      </c>
    </row>
    <row r="78" spans="1:6" x14ac:dyDescent="0.15">
      <c r="A78" t="s">
        <v>77</v>
      </c>
      <c r="C78" t="s">
        <v>939</v>
      </c>
      <c r="F78" t="s">
        <v>319</v>
      </c>
    </row>
    <row r="79" spans="1:6" x14ac:dyDescent="0.15">
      <c r="A79" t="s">
        <v>78</v>
      </c>
      <c r="C79" t="s">
        <v>940</v>
      </c>
      <c r="F79" t="s">
        <v>320</v>
      </c>
    </row>
    <row r="80" spans="1:6" x14ac:dyDescent="0.15">
      <c r="A80" t="s">
        <v>79</v>
      </c>
      <c r="C80" t="s">
        <v>941</v>
      </c>
      <c r="F80" t="s">
        <v>321</v>
      </c>
    </row>
    <row r="81" spans="1:6" x14ac:dyDescent="0.15">
      <c r="A81" t="s">
        <v>80</v>
      </c>
      <c r="C81" t="s">
        <v>942</v>
      </c>
      <c r="F81" t="s">
        <v>322</v>
      </c>
    </row>
    <row r="82" spans="1:6" x14ac:dyDescent="0.15">
      <c r="A82" t="s">
        <v>81</v>
      </c>
      <c r="C82" t="s">
        <v>943</v>
      </c>
      <c r="F82" t="s">
        <v>323</v>
      </c>
    </row>
    <row r="83" spans="1:6" x14ac:dyDescent="0.15">
      <c r="A83" t="s">
        <v>82</v>
      </c>
      <c r="C83" t="s">
        <v>944</v>
      </c>
      <c r="F83" t="s">
        <v>324</v>
      </c>
    </row>
    <row r="84" spans="1:6" x14ac:dyDescent="0.15">
      <c r="A84" t="s">
        <v>83</v>
      </c>
      <c r="C84" t="s">
        <v>945</v>
      </c>
      <c r="F84" t="s">
        <v>325</v>
      </c>
    </row>
    <row r="85" spans="1:6" x14ac:dyDescent="0.15">
      <c r="A85" t="s">
        <v>84</v>
      </c>
      <c r="C85" t="s">
        <v>946</v>
      </c>
      <c r="F85" t="s">
        <v>326</v>
      </c>
    </row>
    <row r="86" spans="1:6" x14ac:dyDescent="0.15">
      <c r="A86" t="s">
        <v>85</v>
      </c>
      <c r="C86" t="s">
        <v>947</v>
      </c>
      <c r="F86" t="s">
        <v>327</v>
      </c>
    </row>
    <row r="87" spans="1:6" x14ac:dyDescent="0.15">
      <c r="A87" t="s">
        <v>86</v>
      </c>
      <c r="C87" t="s">
        <v>948</v>
      </c>
      <c r="F87" t="s">
        <v>13</v>
      </c>
    </row>
    <row r="88" spans="1:6" x14ac:dyDescent="0.15">
      <c r="A88" t="s">
        <v>87</v>
      </c>
      <c r="C88" t="s">
        <v>949</v>
      </c>
      <c r="F88" t="s">
        <v>328</v>
      </c>
    </row>
    <row r="89" spans="1:6" x14ac:dyDescent="0.15">
      <c r="A89" t="s">
        <v>88</v>
      </c>
      <c r="C89" t="s">
        <v>950</v>
      </c>
      <c r="F89" t="s">
        <v>329</v>
      </c>
    </row>
    <row r="90" spans="1:6" x14ac:dyDescent="0.15">
      <c r="A90" t="s">
        <v>89</v>
      </c>
      <c r="C90" t="s">
        <v>951</v>
      </c>
      <c r="F90" t="s">
        <v>330</v>
      </c>
    </row>
    <row r="91" spans="1:6" x14ac:dyDescent="0.15">
      <c r="A91" t="s">
        <v>90</v>
      </c>
      <c r="C91" t="s">
        <v>952</v>
      </c>
      <c r="F91" t="s">
        <v>331</v>
      </c>
    </row>
    <row r="92" spans="1:6" x14ac:dyDescent="0.15">
      <c r="A92" t="s">
        <v>91</v>
      </c>
      <c r="C92" t="s">
        <v>953</v>
      </c>
      <c r="F92" t="s">
        <v>332</v>
      </c>
    </row>
    <row r="93" spans="1:6" x14ac:dyDescent="0.15">
      <c r="A93" t="s">
        <v>92</v>
      </c>
      <c r="C93" t="s">
        <v>954</v>
      </c>
      <c r="F93" t="s">
        <v>333</v>
      </c>
    </row>
    <row r="94" spans="1:6" x14ac:dyDescent="0.15">
      <c r="A94" t="s">
        <v>93</v>
      </c>
      <c r="C94" t="s">
        <v>955</v>
      </c>
      <c r="F94" t="s">
        <v>334</v>
      </c>
    </row>
    <row r="95" spans="1:6" x14ac:dyDescent="0.15">
      <c r="A95" t="s">
        <v>94</v>
      </c>
      <c r="C95" t="s">
        <v>956</v>
      </c>
      <c r="F95" t="s">
        <v>335</v>
      </c>
    </row>
    <row r="96" spans="1:6" x14ac:dyDescent="0.15">
      <c r="A96" t="s">
        <v>95</v>
      </c>
      <c r="C96" t="s">
        <v>957</v>
      </c>
      <c r="F96" t="s">
        <v>336</v>
      </c>
    </row>
    <row r="97" spans="1:6" x14ac:dyDescent="0.15">
      <c r="A97" t="s">
        <v>96</v>
      </c>
      <c r="C97" t="s">
        <v>958</v>
      </c>
      <c r="F97" t="s">
        <v>337</v>
      </c>
    </row>
    <row r="98" spans="1:6" x14ac:dyDescent="0.15">
      <c r="A98" t="s">
        <v>97</v>
      </c>
      <c r="C98" t="s">
        <v>959</v>
      </c>
      <c r="F98" t="s">
        <v>338</v>
      </c>
    </row>
    <row r="99" spans="1:6" x14ac:dyDescent="0.15">
      <c r="A99" t="s">
        <v>98</v>
      </c>
      <c r="C99" t="s">
        <v>960</v>
      </c>
      <c r="F99" t="s">
        <v>339</v>
      </c>
    </row>
    <row r="100" spans="1:6" x14ac:dyDescent="0.15">
      <c r="A100" t="s">
        <v>99</v>
      </c>
      <c r="C100" t="s">
        <v>961</v>
      </c>
      <c r="F100" t="s">
        <v>340</v>
      </c>
    </row>
    <row r="101" spans="1:6" x14ac:dyDescent="0.15">
      <c r="A101" t="s">
        <v>100</v>
      </c>
      <c r="C101" t="s">
        <v>962</v>
      </c>
      <c r="F101" t="s">
        <v>341</v>
      </c>
    </row>
    <row r="102" spans="1:6" x14ac:dyDescent="0.15">
      <c r="A102" t="s">
        <v>101</v>
      </c>
      <c r="C102" t="s">
        <v>963</v>
      </c>
      <c r="F102" t="s">
        <v>342</v>
      </c>
    </row>
    <row r="103" spans="1:6" x14ac:dyDescent="0.15">
      <c r="A103" t="s">
        <v>102</v>
      </c>
      <c r="C103" t="s">
        <v>964</v>
      </c>
      <c r="F103" t="s">
        <v>343</v>
      </c>
    </row>
    <row r="104" spans="1:6" x14ac:dyDescent="0.15">
      <c r="A104" t="s">
        <v>103</v>
      </c>
      <c r="C104" t="s">
        <v>965</v>
      </c>
      <c r="F104" t="s">
        <v>344</v>
      </c>
    </row>
    <row r="105" spans="1:6" x14ac:dyDescent="0.15">
      <c r="A105" t="s">
        <v>104</v>
      </c>
      <c r="C105" t="s">
        <v>966</v>
      </c>
      <c r="F105" t="s">
        <v>345</v>
      </c>
    </row>
    <row r="106" spans="1:6" x14ac:dyDescent="0.15">
      <c r="A106" t="s">
        <v>105</v>
      </c>
      <c r="C106" t="s">
        <v>967</v>
      </c>
      <c r="F106" t="s">
        <v>346</v>
      </c>
    </row>
    <row r="107" spans="1:6" x14ac:dyDescent="0.15">
      <c r="A107" t="s">
        <v>106</v>
      </c>
      <c r="C107" t="s">
        <v>968</v>
      </c>
      <c r="F107" t="s">
        <v>347</v>
      </c>
    </row>
    <row r="108" spans="1:6" x14ac:dyDescent="0.15">
      <c r="A108" t="s">
        <v>107</v>
      </c>
      <c r="C108" t="s">
        <v>969</v>
      </c>
      <c r="F108" t="s">
        <v>348</v>
      </c>
    </row>
    <row r="109" spans="1:6" x14ac:dyDescent="0.15">
      <c r="A109" t="s">
        <v>108</v>
      </c>
      <c r="C109" t="s">
        <v>970</v>
      </c>
      <c r="F109" t="s">
        <v>349</v>
      </c>
    </row>
    <row r="110" spans="1:6" x14ac:dyDescent="0.15">
      <c r="A110" t="s">
        <v>109</v>
      </c>
      <c r="C110" t="s">
        <v>971</v>
      </c>
      <c r="F110" t="s">
        <v>350</v>
      </c>
    </row>
    <row r="111" spans="1:6" x14ac:dyDescent="0.15">
      <c r="A111" t="s">
        <v>110</v>
      </c>
      <c r="C111" t="s">
        <v>972</v>
      </c>
      <c r="F111" t="s">
        <v>351</v>
      </c>
    </row>
    <row r="112" spans="1:6" x14ac:dyDescent="0.15">
      <c r="A112" t="s">
        <v>111</v>
      </c>
      <c r="C112" t="s">
        <v>973</v>
      </c>
      <c r="F112" t="s">
        <v>352</v>
      </c>
    </row>
    <row r="113" spans="1:6" x14ac:dyDescent="0.15">
      <c r="A113" t="s">
        <v>112</v>
      </c>
      <c r="C113" t="s">
        <v>974</v>
      </c>
      <c r="F113" t="s">
        <v>353</v>
      </c>
    </row>
    <row r="114" spans="1:6" x14ac:dyDescent="0.15">
      <c r="A114" t="s">
        <v>113</v>
      </c>
      <c r="C114" t="s">
        <v>975</v>
      </c>
      <c r="F114" t="s">
        <v>354</v>
      </c>
    </row>
    <row r="115" spans="1:6" x14ac:dyDescent="0.15">
      <c r="A115" t="s">
        <v>114</v>
      </c>
      <c r="C115" t="s">
        <v>976</v>
      </c>
      <c r="F115" t="s">
        <v>355</v>
      </c>
    </row>
    <row r="116" spans="1:6" x14ac:dyDescent="0.15">
      <c r="A116" t="s">
        <v>115</v>
      </c>
      <c r="C116" t="s">
        <v>977</v>
      </c>
      <c r="F116" t="s">
        <v>356</v>
      </c>
    </row>
    <row r="117" spans="1:6" x14ac:dyDescent="0.15">
      <c r="A117" t="s">
        <v>116</v>
      </c>
      <c r="C117" t="s">
        <v>978</v>
      </c>
      <c r="F117" t="s">
        <v>357</v>
      </c>
    </row>
    <row r="118" spans="1:6" x14ac:dyDescent="0.15">
      <c r="A118" t="s">
        <v>117</v>
      </c>
      <c r="C118" t="s">
        <v>979</v>
      </c>
      <c r="F118" t="s">
        <v>358</v>
      </c>
    </row>
    <row r="119" spans="1:6" x14ac:dyDescent="0.15">
      <c r="A119" t="s">
        <v>118</v>
      </c>
      <c r="C119" t="s">
        <v>980</v>
      </c>
      <c r="F119" t="s">
        <v>359</v>
      </c>
    </row>
    <row r="120" spans="1:6" x14ac:dyDescent="0.15">
      <c r="A120" t="s">
        <v>119</v>
      </c>
      <c r="C120" t="s">
        <v>981</v>
      </c>
      <c r="F120" t="s">
        <v>360</v>
      </c>
    </row>
    <row r="121" spans="1:6" x14ac:dyDescent="0.15">
      <c r="A121" t="s">
        <v>120</v>
      </c>
      <c r="C121" t="s">
        <v>982</v>
      </c>
      <c r="F121" t="s">
        <v>361</v>
      </c>
    </row>
    <row r="122" spans="1:6" x14ac:dyDescent="0.15">
      <c r="A122" t="s">
        <v>121</v>
      </c>
      <c r="C122" t="s">
        <v>983</v>
      </c>
      <c r="F122" t="s">
        <v>362</v>
      </c>
    </row>
    <row r="123" spans="1:6" x14ac:dyDescent="0.15">
      <c r="A123" t="s">
        <v>122</v>
      </c>
      <c r="C123" t="s">
        <v>984</v>
      </c>
      <c r="F123" t="s">
        <v>363</v>
      </c>
    </row>
    <row r="124" spans="1:6" x14ac:dyDescent="0.15">
      <c r="A124" t="s">
        <v>123</v>
      </c>
      <c r="C124" t="s">
        <v>985</v>
      </c>
      <c r="F124" t="s">
        <v>364</v>
      </c>
    </row>
    <row r="125" spans="1:6" x14ac:dyDescent="0.15">
      <c r="A125" t="s">
        <v>124</v>
      </c>
      <c r="C125" t="s">
        <v>986</v>
      </c>
      <c r="F125" t="s">
        <v>365</v>
      </c>
    </row>
    <row r="126" spans="1:6" x14ac:dyDescent="0.15">
      <c r="A126" t="s">
        <v>125</v>
      </c>
      <c r="C126" t="s">
        <v>987</v>
      </c>
      <c r="F126" t="s">
        <v>366</v>
      </c>
    </row>
    <row r="127" spans="1:6" x14ac:dyDescent="0.15">
      <c r="A127" t="s">
        <v>126</v>
      </c>
      <c r="C127" t="s">
        <v>988</v>
      </c>
      <c r="F127" t="s">
        <v>367</v>
      </c>
    </row>
    <row r="128" spans="1:6" x14ac:dyDescent="0.15">
      <c r="A128" t="s">
        <v>127</v>
      </c>
      <c r="C128" t="s">
        <v>989</v>
      </c>
      <c r="F128" t="s">
        <v>368</v>
      </c>
    </row>
    <row r="129" spans="1:6" x14ac:dyDescent="0.15">
      <c r="A129" t="s">
        <v>128</v>
      </c>
      <c r="C129" t="s">
        <v>990</v>
      </c>
      <c r="F129" t="s">
        <v>369</v>
      </c>
    </row>
    <row r="130" spans="1:6" x14ac:dyDescent="0.15">
      <c r="A130" t="s">
        <v>129</v>
      </c>
      <c r="C130" t="s">
        <v>991</v>
      </c>
      <c r="F130" t="s">
        <v>370</v>
      </c>
    </row>
    <row r="131" spans="1:6" x14ac:dyDescent="0.15">
      <c r="A131" t="s">
        <v>130</v>
      </c>
      <c r="C131" t="s">
        <v>992</v>
      </c>
      <c r="F131" t="s">
        <v>371</v>
      </c>
    </row>
    <row r="132" spans="1:6" x14ac:dyDescent="0.15">
      <c r="A132" t="s">
        <v>131</v>
      </c>
      <c r="C132" t="s">
        <v>993</v>
      </c>
      <c r="F132" t="s">
        <v>372</v>
      </c>
    </row>
    <row r="133" spans="1:6" x14ac:dyDescent="0.15">
      <c r="A133" t="s">
        <v>132</v>
      </c>
      <c r="C133" t="s">
        <v>994</v>
      </c>
      <c r="F133" t="s">
        <v>373</v>
      </c>
    </row>
    <row r="134" spans="1:6" x14ac:dyDescent="0.15">
      <c r="A134" t="s">
        <v>133</v>
      </c>
      <c r="C134" t="s">
        <v>995</v>
      </c>
      <c r="F134" t="s">
        <v>374</v>
      </c>
    </row>
    <row r="135" spans="1:6" x14ac:dyDescent="0.15">
      <c r="A135" t="s">
        <v>134</v>
      </c>
      <c r="C135" t="s">
        <v>996</v>
      </c>
      <c r="F135" t="s">
        <v>375</v>
      </c>
    </row>
    <row r="136" spans="1:6" x14ac:dyDescent="0.15">
      <c r="A136" t="s">
        <v>135</v>
      </c>
      <c r="C136" t="s">
        <v>997</v>
      </c>
      <c r="F136" t="s">
        <v>376</v>
      </c>
    </row>
    <row r="137" spans="1:6" x14ac:dyDescent="0.15">
      <c r="A137" t="s">
        <v>136</v>
      </c>
      <c r="C137" t="s">
        <v>998</v>
      </c>
      <c r="F137" t="s">
        <v>377</v>
      </c>
    </row>
    <row r="138" spans="1:6" x14ac:dyDescent="0.15">
      <c r="A138" t="s">
        <v>137</v>
      </c>
      <c r="C138" t="s">
        <v>999</v>
      </c>
      <c r="F138" t="s">
        <v>378</v>
      </c>
    </row>
    <row r="139" spans="1:6" x14ac:dyDescent="0.15">
      <c r="A139" t="s">
        <v>138</v>
      </c>
      <c r="C139" t="s">
        <v>1000</v>
      </c>
      <c r="F139" t="s">
        <v>379</v>
      </c>
    </row>
    <row r="140" spans="1:6" x14ac:dyDescent="0.15">
      <c r="A140" t="s">
        <v>139</v>
      </c>
      <c r="C140" t="s">
        <v>1001</v>
      </c>
      <c r="F140" t="s">
        <v>380</v>
      </c>
    </row>
    <row r="141" spans="1:6" x14ac:dyDescent="0.15">
      <c r="A141" t="s">
        <v>140</v>
      </c>
      <c r="C141" t="s">
        <v>1002</v>
      </c>
      <c r="F141" t="s">
        <v>381</v>
      </c>
    </row>
    <row r="142" spans="1:6" x14ac:dyDescent="0.15">
      <c r="A142" t="s">
        <v>141</v>
      </c>
      <c r="C142" t="s">
        <v>1003</v>
      </c>
      <c r="F142" t="s">
        <v>382</v>
      </c>
    </row>
    <row r="143" spans="1:6" x14ac:dyDescent="0.15">
      <c r="A143" t="s">
        <v>142</v>
      </c>
      <c r="C143" t="s">
        <v>1004</v>
      </c>
      <c r="F143" t="s">
        <v>383</v>
      </c>
    </row>
    <row r="144" spans="1:6" x14ac:dyDescent="0.15">
      <c r="A144" t="s">
        <v>143</v>
      </c>
      <c r="C144" t="s">
        <v>1005</v>
      </c>
      <c r="F144" t="s">
        <v>384</v>
      </c>
    </row>
    <row r="145" spans="1:6" x14ac:dyDescent="0.15">
      <c r="A145" t="s">
        <v>144</v>
      </c>
      <c r="C145" t="s">
        <v>1006</v>
      </c>
      <c r="F145" t="s">
        <v>385</v>
      </c>
    </row>
    <row r="146" spans="1:6" x14ac:dyDescent="0.15">
      <c r="A146" t="s">
        <v>145</v>
      </c>
      <c r="C146" t="s">
        <v>1007</v>
      </c>
      <c r="F146" t="s">
        <v>386</v>
      </c>
    </row>
    <row r="147" spans="1:6" x14ac:dyDescent="0.15">
      <c r="A147" t="s">
        <v>146</v>
      </c>
      <c r="C147" t="s">
        <v>1008</v>
      </c>
      <c r="F147" t="s">
        <v>387</v>
      </c>
    </row>
    <row r="148" spans="1:6" x14ac:dyDescent="0.15">
      <c r="A148" t="s">
        <v>147</v>
      </c>
      <c r="C148" t="s">
        <v>1009</v>
      </c>
      <c r="F148" t="s">
        <v>388</v>
      </c>
    </row>
    <row r="149" spans="1:6" x14ac:dyDescent="0.15">
      <c r="A149" t="s">
        <v>148</v>
      </c>
      <c r="C149" t="s">
        <v>1010</v>
      </c>
      <c r="F149" t="s">
        <v>389</v>
      </c>
    </row>
    <row r="150" spans="1:6" x14ac:dyDescent="0.15">
      <c r="A150" t="s">
        <v>149</v>
      </c>
      <c r="C150" t="s">
        <v>1011</v>
      </c>
      <c r="F150" t="s">
        <v>390</v>
      </c>
    </row>
    <row r="151" spans="1:6" x14ac:dyDescent="0.15">
      <c r="A151" t="s">
        <v>150</v>
      </c>
      <c r="C151" t="s">
        <v>1012</v>
      </c>
      <c r="F151" t="s">
        <v>391</v>
      </c>
    </row>
    <row r="152" spans="1:6" x14ac:dyDescent="0.15">
      <c r="A152" t="s">
        <v>151</v>
      </c>
      <c r="C152" t="s">
        <v>1013</v>
      </c>
      <c r="F152" t="s">
        <v>392</v>
      </c>
    </row>
    <row r="153" spans="1:6" x14ac:dyDescent="0.15">
      <c r="A153" t="s">
        <v>152</v>
      </c>
      <c r="C153" t="s">
        <v>1014</v>
      </c>
      <c r="F153" t="s">
        <v>393</v>
      </c>
    </row>
    <row r="154" spans="1:6" x14ac:dyDescent="0.15">
      <c r="A154" t="s">
        <v>153</v>
      </c>
      <c r="C154" t="s">
        <v>1015</v>
      </c>
      <c r="F154" t="s">
        <v>394</v>
      </c>
    </row>
    <row r="155" spans="1:6" x14ac:dyDescent="0.15">
      <c r="A155" t="s">
        <v>154</v>
      </c>
      <c r="C155" t="s">
        <v>1016</v>
      </c>
      <c r="F155" t="s">
        <v>395</v>
      </c>
    </row>
    <row r="156" spans="1:6" x14ac:dyDescent="0.15">
      <c r="A156" t="s">
        <v>155</v>
      </c>
      <c r="C156" t="s">
        <v>1017</v>
      </c>
      <c r="F156" t="s">
        <v>396</v>
      </c>
    </row>
    <row r="157" spans="1:6" x14ac:dyDescent="0.15">
      <c r="A157" t="s">
        <v>156</v>
      </c>
      <c r="C157" t="s">
        <v>1018</v>
      </c>
      <c r="F157" t="s">
        <v>397</v>
      </c>
    </row>
    <row r="158" spans="1:6" x14ac:dyDescent="0.15">
      <c r="A158" t="s">
        <v>157</v>
      </c>
      <c r="C158" t="s">
        <v>1019</v>
      </c>
      <c r="F158" t="s">
        <v>398</v>
      </c>
    </row>
    <row r="159" spans="1:6" x14ac:dyDescent="0.15">
      <c r="A159" t="s">
        <v>158</v>
      </c>
      <c r="C159" t="s">
        <v>1020</v>
      </c>
      <c r="F159" t="s">
        <v>399</v>
      </c>
    </row>
    <row r="160" spans="1:6" x14ac:dyDescent="0.15">
      <c r="A160" t="s">
        <v>159</v>
      </c>
      <c r="C160" t="s">
        <v>1021</v>
      </c>
      <c r="F160" t="s">
        <v>400</v>
      </c>
    </row>
    <row r="161" spans="1:6" x14ac:dyDescent="0.15">
      <c r="A161" t="s">
        <v>160</v>
      </c>
      <c r="C161" t="s">
        <v>1022</v>
      </c>
      <c r="F161" t="s">
        <v>401</v>
      </c>
    </row>
    <row r="162" spans="1:6" x14ac:dyDescent="0.15">
      <c r="A162" t="s">
        <v>161</v>
      </c>
      <c r="C162" t="s">
        <v>1023</v>
      </c>
      <c r="F162" t="s">
        <v>402</v>
      </c>
    </row>
    <row r="163" spans="1:6" x14ac:dyDescent="0.15">
      <c r="A163" t="s">
        <v>162</v>
      </c>
      <c r="C163" t="s">
        <v>1024</v>
      </c>
      <c r="F163" t="s">
        <v>403</v>
      </c>
    </row>
    <row r="164" spans="1:6" x14ac:dyDescent="0.15">
      <c r="A164" t="s">
        <v>163</v>
      </c>
      <c r="C164" t="s">
        <v>1025</v>
      </c>
      <c r="F164" t="s">
        <v>404</v>
      </c>
    </row>
    <row r="165" spans="1:6" x14ac:dyDescent="0.15">
      <c r="A165" t="s">
        <v>164</v>
      </c>
      <c r="C165" t="s">
        <v>1026</v>
      </c>
      <c r="F165" t="s">
        <v>405</v>
      </c>
    </row>
    <row r="166" spans="1:6" x14ac:dyDescent="0.15">
      <c r="A166" t="s">
        <v>165</v>
      </c>
      <c r="C166" t="s">
        <v>1027</v>
      </c>
      <c r="F166" t="s">
        <v>406</v>
      </c>
    </row>
    <row r="167" spans="1:6" x14ac:dyDescent="0.15">
      <c r="A167" t="s">
        <v>166</v>
      </c>
      <c r="C167" t="s">
        <v>1028</v>
      </c>
      <c r="F167" t="s">
        <v>407</v>
      </c>
    </row>
    <row r="168" spans="1:6" x14ac:dyDescent="0.15">
      <c r="A168" t="s">
        <v>167</v>
      </c>
      <c r="C168" t="s">
        <v>1029</v>
      </c>
      <c r="F168" t="s">
        <v>408</v>
      </c>
    </row>
    <row r="169" spans="1:6" x14ac:dyDescent="0.15">
      <c r="A169" t="s">
        <v>168</v>
      </c>
      <c r="C169" t="s">
        <v>1030</v>
      </c>
      <c r="F169" t="s">
        <v>409</v>
      </c>
    </row>
    <row r="170" spans="1:6" x14ac:dyDescent="0.15">
      <c r="A170" t="s">
        <v>169</v>
      </c>
      <c r="C170" t="s">
        <v>1031</v>
      </c>
      <c r="F170" t="s">
        <v>410</v>
      </c>
    </row>
    <row r="171" spans="1:6" x14ac:dyDescent="0.15">
      <c r="A171" t="s">
        <v>170</v>
      </c>
      <c r="C171" t="s">
        <v>1032</v>
      </c>
      <c r="F171" t="s">
        <v>411</v>
      </c>
    </row>
    <row r="172" spans="1:6" x14ac:dyDescent="0.15">
      <c r="A172" t="s">
        <v>171</v>
      </c>
      <c r="C172" t="s">
        <v>1033</v>
      </c>
      <c r="F172" t="s">
        <v>412</v>
      </c>
    </row>
    <row r="173" spans="1:6" x14ac:dyDescent="0.15">
      <c r="A173" t="s">
        <v>172</v>
      </c>
      <c r="C173" t="s">
        <v>1034</v>
      </c>
      <c r="F173" t="s">
        <v>413</v>
      </c>
    </row>
    <row r="174" spans="1:6" x14ac:dyDescent="0.15">
      <c r="A174" t="s">
        <v>173</v>
      </c>
      <c r="C174" t="s">
        <v>1035</v>
      </c>
      <c r="F174" t="s">
        <v>414</v>
      </c>
    </row>
    <row r="175" spans="1:6" x14ac:dyDescent="0.15">
      <c r="A175" t="s">
        <v>174</v>
      </c>
      <c r="C175" t="s">
        <v>1036</v>
      </c>
      <c r="F175" t="s">
        <v>415</v>
      </c>
    </row>
    <row r="176" spans="1:6" x14ac:dyDescent="0.15">
      <c r="A176" t="s">
        <v>175</v>
      </c>
      <c r="C176" t="s">
        <v>1037</v>
      </c>
      <c r="F176" t="s">
        <v>416</v>
      </c>
    </row>
    <row r="177" spans="1:6" x14ac:dyDescent="0.15">
      <c r="A177" t="s">
        <v>176</v>
      </c>
      <c r="C177" t="s">
        <v>1038</v>
      </c>
      <c r="F177" t="s">
        <v>417</v>
      </c>
    </row>
    <row r="178" spans="1:6" x14ac:dyDescent="0.15">
      <c r="A178" t="s">
        <v>177</v>
      </c>
      <c r="C178" t="s">
        <v>1039</v>
      </c>
      <c r="F178" t="s">
        <v>418</v>
      </c>
    </row>
    <row r="179" spans="1:6" x14ac:dyDescent="0.15">
      <c r="A179" t="s">
        <v>178</v>
      </c>
      <c r="C179" t="s">
        <v>1040</v>
      </c>
      <c r="F179" t="s">
        <v>419</v>
      </c>
    </row>
    <row r="180" spans="1:6" x14ac:dyDescent="0.15">
      <c r="A180" t="s">
        <v>179</v>
      </c>
      <c r="C180" t="s">
        <v>1041</v>
      </c>
      <c r="F180" t="s">
        <v>420</v>
      </c>
    </row>
    <row r="181" spans="1:6" x14ac:dyDescent="0.15">
      <c r="A181" t="s">
        <v>180</v>
      </c>
      <c r="C181" t="s">
        <v>1042</v>
      </c>
      <c r="F181" t="s">
        <v>421</v>
      </c>
    </row>
    <row r="182" spans="1:6" x14ac:dyDescent="0.15">
      <c r="A182" t="s">
        <v>181</v>
      </c>
      <c r="C182" t="s">
        <v>1043</v>
      </c>
      <c r="F182" t="s">
        <v>422</v>
      </c>
    </row>
    <row r="183" spans="1:6" x14ac:dyDescent="0.15">
      <c r="A183" t="s">
        <v>182</v>
      </c>
      <c r="C183" t="s">
        <v>1044</v>
      </c>
      <c r="F183" t="s">
        <v>423</v>
      </c>
    </row>
    <row r="184" spans="1:6" x14ac:dyDescent="0.15">
      <c r="A184" t="s">
        <v>183</v>
      </c>
      <c r="C184" t="s">
        <v>1045</v>
      </c>
      <c r="F184" t="s">
        <v>424</v>
      </c>
    </row>
    <row r="185" spans="1:6" x14ac:dyDescent="0.15">
      <c r="A185" t="s">
        <v>184</v>
      </c>
      <c r="C185" t="s">
        <v>1046</v>
      </c>
      <c r="F185" t="s">
        <v>425</v>
      </c>
    </row>
    <row r="186" spans="1:6" x14ac:dyDescent="0.15">
      <c r="A186" t="s">
        <v>185</v>
      </c>
      <c r="C186" t="s">
        <v>1047</v>
      </c>
      <c r="F186" t="s">
        <v>426</v>
      </c>
    </row>
    <row r="187" spans="1:6" x14ac:dyDescent="0.15">
      <c r="A187" t="s">
        <v>186</v>
      </c>
      <c r="C187" t="s">
        <v>1048</v>
      </c>
      <c r="F187" t="s">
        <v>427</v>
      </c>
    </row>
    <row r="188" spans="1:6" x14ac:dyDescent="0.15">
      <c r="A188" t="s">
        <v>187</v>
      </c>
      <c r="C188" t="s">
        <v>1049</v>
      </c>
      <c r="F188" t="s">
        <v>428</v>
      </c>
    </row>
    <row r="189" spans="1:6" x14ac:dyDescent="0.15">
      <c r="A189" t="s">
        <v>188</v>
      </c>
      <c r="C189" t="s">
        <v>1050</v>
      </c>
      <c r="F189" t="s">
        <v>429</v>
      </c>
    </row>
    <row r="190" spans="1:6" x14ac:dyDescent="0.15">
      <c r="A190" t="s">
        <v>189</v>
      </c>
      <c r="C190" t="s">
        <v>1051</v>
      </c>
      <c r="F190" t="s">
        <v>430</v>
      </c>
    </row>
    <row r="191" spans="1:6" x14ac:dyDescent="0.15">
      <c r="A191" t="s">
        <v>190</v>
      </c>
      <c r="C191" t="s">
        <v>1052</v>
      </c>
      <c r="F191" t="s">
        <v>431</v>
      </c>
    </row>
    <row r="192" spans="1:6" x14ac:dyDescent="0.15">
      <c r="A192" t="s">
        <v>191</v>
      </c>
      <c r="C192" t="s">
        <v>1053</v>
      </c>
      <c r="F192" t="s">
        <v>432</v>
      </c>
    </row>
    <row r="193" spans="1:6" x14ac:dyDescent="0.15">
      <c r="A193" t="s">
        <v>192</v>
      </c>
      <c r="C193" t="s">
        <v>1054</v>
      </c>
      <c r="F193" t="s">
        <v>433</v>
      </c>
    </row>
    <row r="194" spans="1:6" x14ac:dyDescent="0.15">
      <c r="A194" t="s">
        <v>193</v>
      </c>
      <c r="C194" t="s">
        <v>1055</v>
      </c>
      <c r="F194" t="s">
        <v>434</v>
      </c>
    </row>
    <row r="195" spans="1:6" x14ac:dyDescent="0.15">
      <c r="A195" t="s">
        <v>194</v>
      </c>
      <c r="C195" t="s">
        <v>1056</v>
      </c>
      <c r="F195" t="s">
        <v>435</v>
      </c>
    </row>
    <row r="196" spans="1:6" x14ac:dyDescent="0.15">
      <c r="A196" t="s">
        <v>195</v>
      </c>
      <c r="C196" t="s">
        <v>1057</v>
      </c>
      <c r="F196" t="s">
        <v>436</v>
      </c>
    </row>
    <row r="197" spans="1:6" x14ac:dyDescent="0.15">
      <c r="A197" t="s">
        <v>196</v>
      </c>
      <c r="C197" t="s">
        <v>1058</v>
      </c>
      <c r="F197" t="s">
        <v>437</v>
      </c>
    </row>
    <row r="198" spans="1:6" x14ac:dyDescent="0.15">
      <c r="A198" t="s">
        <v>197</v>
      </c>
      <c r="C198" t="s">
        <v>1059</v>
      </c>
      <c r="F198" t="s">
        <v>438</v>
      </c>
    </row>
    <row r="199" spans="1:6" x14ac:dyDescent="0.15">
      <c r="A199" t="s">
        <v>198</v>
      </c>
      <c r="C199" t="s">
        <v>1060</v>
      </c>
      <c r="F199" t="s">
        <v>439</v>
      </c>
    </row>
    <row r="200" spans="1:6" x14ac:dyDescent="0.15">
      <c r="A200" t="s">
        <v>199</v>
      </c>
      <c r="C200" t="s">
        <v>1061</v>
      </c>
      <c r="F200" t="s">
        <v>440</v>
      </c>
    </row>
    <row r="201" spans="1:6" x14ac:dyDescent="0.15">
      <c r="A201" t="s">
        <v>200</v>
      </c>
      <c r="C201" t="s">
        <v>1062</v>
      </c>
      <c r="F201" t="s">
        <v>441</v>
      </c>
    </row>
    <row r="202" spans="1:6" x14ac:dyDescent="0.15">
      <c r="A202" t="s">
        <v>201</v>
      </c>
      <c r="C202" t="s">
        <v>1063</v>
      </c>
      <c r="F202" t="s">
        <v>442</v>
      </c>
    </row>
    <row r="203" spans="1:6" x14ac:dyDescent="0.15">
      <c r="A203" t="s">
        <v>202</v>
      </c>
      <c r="C203" t="s">
        <v>1064</v>
      </c>
      <c r="F203" t="s">
        <v>443</v>
      </c>
    </row>
    <row r="204" spans="1:6" x14ac:dyDescent="0.15">
      <c r="A204" t="s">
        <v>203</v>
      </c>
      <c r="C204" t="s">
        <v>1065</v>
      </c>
      <c r="F204" t="s">
        <v>444</v>
      </c>
    </row>
    <row r="205" spans="1:6" x14ac:dyDescent="0.15">
      <c r="A205" t="s">
        <v>204</v>
      </c>
      <c r="C205" t="s">
        <v>1066</v>
      </c>
      <c r="F205" t="s">
        <v>445</v>
      </c>
    </row>
    <row r="206" spans="1:6" x14ac:dyDescent="0.15">
      <c r="A206" t="s">
        <v>205</v>
      </c>
      <c r="C206" t="s">
        <v>1067</v>
      </c>
      <c r="F206" t="s">
        <v>446</v>
      </c>
    </row>
    <row r="207" spans="1:6" x14ac:dyDescent="0.15">
      <c r="A207" t="s">
        <v>206</v>
      </c>
      <c r="C207" t="s">
        <v>1068</v>
      </c>
      <c r="F207" t="s">
        <v>447</v>
      </c>
    </row>
    <row r="208" spans="1:6" x14ac:dyDescent="0.15">
      <c r="A208" t="s">
        <v>207</v>
      </c>
      <c r="C208" t="s">
        <v>1069</v>
      </c>
      <c r="F208" t="s">
        <v>448</v>
      </c>
    </row>
    <row r="209" spans="1:6" x14ac:dyDescent="0.15">
      <c r="A209" t="s">
        <v>208</v>
      </c>
      <c r="C209" t="s">
        <v>1070</v>
      </c>
      <c r="F209" t="s">
        <v>449</v>
      </c>
    </row>
    <row r="210" spans="1:6" x14ac:dyDescent="0.15">
      <c r="A210" t="s">
        <v>209</v>
      </c>
      <c r="C210" t="s">
        <v>1071</v>
      </c>
      <c r="F210" t="s">
        <v>450</v>
      </c>
    </row>
    <row r="211" spans="1:6" x14ac:dyDescent="0.15">
      <c r="A211" t="s">
        <v>210</v>
      </c>
      <c r="C211" t="s">
        <v>1072</v>
      </c>
      <c r="F211" t="s">
        <v>451</v>
      </c>
    </row>
    <row r="212" spans="1:6" x14ac:dyDescent="0.15">
      <c r="A212" t="s">
        <v>211</v>
      </c>
      <c r="C212" t="s">
        <v>1073</v>
      </c>
      <c r="F212" t="s">
        <v>452</v>
      </c>
    </row>
    <row r="213" spans="1:6" x14ac:dyDescent="0.15">
      <c r="A213" t="s">
        <v>212</v>
      </c>
      <c r="C213" t="s">
        <v>1074</v>
      </c>
      <c r="F213" t="s">
        <v>453</v>
      </c>
    </row>
    <row r="214" spans="1:6" x14ac:dyDescent="0.15">
      <c r="A214" t="s">
        <v>213</v>
      </c>
      <c r="C214" t="s">
        <v>1075</v>
      </c>
      <c r="F214" t="s">
        <v>454</v>
      </c>
    </row>
    <row r="215" spans="1:6" x14ac:dyDescent="0.15">
      <c r="A215" t="s">
        <v>214</v>
      </c>
      <c r="C215" t="s">
        <v>1076</v>
      </c>
      <c r="F215" t="s">
        <v>455</v>
      </c>
    </row>
    <row r="216" spans="1:6" x14ac:dyDescent="0.15">
      <c r="A216" t="s">
        <v>215</v>
      </c>
      <c r="C216" t="s">
        <v>1077</v>
      </c>
      <c r="F216" t="s">
        <v>456</v>
      </c>
    </row>
    <row r="217" spans="1:6" x14ac:dyDescent="0.15">
      <c r="A217" t="s">
        <v>216</v>
      </c>
      <c r="C217" t="s">
        <v>1078</v>
      </c>
      <c r="F217" t="s">
        <v>457</v>
      </c>
    </row>
    <row r="218" spans="1:6" x14ac:dyDescent="0.15">
      <c r="A218" t="s">
        <v>217</v>
      </c>
      <c r="C218" t="s">
        <v>1079</v>
      </c>
      <c r="F218" t="s">
        <v>458</v>
      </c>
    </row>
    <row r="219" spans="1:6" x14ac:dyDescent="0.15">
      <c r="A219" t="s">
        <v>218</v>
      </c>
      <c r="C219" t="s">
        <v>1080</v>
      </c>
      <c r="F219" t="s">
        <v>459</v>
      </c>
    </row>
    <row r="220" spans="1:6" x14ac:dyDescent="0.15">
      <c r="A220" t="s">
        <v>219</v>
      </c>
      <c r="C220" t="s">
        <v>1081</v>
      </c>
      <c r="F220" t="s">
        <v>460</v>
      </c>
    </row>
    <row r="221" spans="1:6" x14ac:dyDescent="0.15">
      <c r="A221" t="s">
        <v>220</v>
      </c>
      <c r="C221" t="s">
        <v>1082</v>
      </c>
      <c r="F221" t="s">
        <v>461</v>
      </c>
    </row>
    <row r="222" spans="1:6" x14ac:dyDescent="0.15">
      <c r="A222" t="s">
        <v>221</v>
      </c>
      <c r="C222" t="s">
        <v>1083</v>
      </c>
      <c r="F222" t="s">
        <v>462</v>
      </c>
    </row>
    <row r="223" spans="1:6" x14ac:dyDescent="0.15">
      <c r="A223" t="s">
        <v>222</v>
      </c>
      <c r="C223" t="s">
        <v>1084</v>
      </c>
      <c r="F223" t="s">
        <v>463</v>
      </c>
    </row>
    <row r="224" spans="1:6" x14ac:dyDescent="0.15">
      <c r="A224" t="s">
        <v>223</v>
      </c>
      <c r="C224" t="s">
        <v>1085</v>
      </c>
      <c r="F224" t="s">
        <v>464</v>
      </c>
    </row>
    <row r="225" spans="1:6" x14ac:dyDescent="0.15">
      <c r="A225" t="s">
        <v>224</v>
      </c>
      <c r="C225" t="s">
        <v>1086</v>
      </c>
      <c r="F225" t="s">
        <v>465</v>
      </c>
    </row>
    <row r="226" spans="1:6" x14ac:dyDescent="0.15">
      <c r="A226" t="s">
        <v>225</v>
      </c>
      <c r="C226" t="s">
        <v>1087</v>
      </c>
      <c r="F226" t="s">
        <v>466</v>
      </c>
    </row>
    <row r="227" spans="1:6" x14ac:dyDescent="0.15">
      <c r="A227" t="s">
        <v>226</v>
      </c>
      <c r="C227" t="s">
        <v>1088</v>
      </c>
      <c r="F227" t="s">
        <v>467</v>
      </c>
    </row>
    <row r="228" spans="1:6" x14ac:dyDescent="0.15">
      <c r="A228" t="s">
        <v>227</v>
      </c>
      <c r="C228" t="s">
        <v>1089</v>
      </c>
      <c r="F228" t="s">
        <v>468</v>
      </c>
    </row>
    <row r="229" spans="1:6" x14ac:dyDescent="0.15">
      <c r="A229" t="s">
        <v>228</v>
      </c>
      <c r="C229" t="s">
        <v>1090</v>
      </c>
      <c r="F229" t="s">
        <v>469</v>
      </c>
    </row>
    <row r="230" spans="1:6" x14ac:dyDescent="0.15">
      <c r="A230" t="s">
        <v>229</v>
      </c>
      <c r="C230" t="s">
        <v>1091</v>
      </c>
      <c r="F230" t="s">
        <v>470</v>
      </c>
    </row>
    <row r="231" spans="1:6" x14ac:dyDescent="0.15">
      <c r="A231" t="s">
        <v>230</v>
      </c>
      <c r="C231" t="s">
        <v>1092</v>
      </c>
      <c r="F231" t="s">
        <v>471</v>
      </c>
    </row>
    <row r="232" spans="1:6" x14ac:dyDescent="0.15">
      <c r="A232" t="s">
        <v>231</v>
      </c>
      <c r="C232" t="s">
        <v>1093</v>
      </c>
      <c r="F232" t="s">
        <v>472</v>
      </c>
    </row>
    <row r="233" spans="1:6" x14ac:dyDescent="0.15">
      <c r="A233" t="s">
        <v>232</v>
      </c>
      <c r="C233" t="s">
        <v>1094</v>
      </c>
      <c r="F233" t="s">
        <v>473</v>
      </c>
    </row>
    <row r="234" spans="1:6" x14ac:dyDescent="0.15">
      <c r="A234" t="s">
        <v>233</v>
      </c>
      <c r="C234" t="s">
        <v>1095</v>
      </c>
      <c r="F234" t="s">
        <v>474</v>
      </c>
    </row>
    <row r="235" spans="1:6" x14ac:dyDescent="0.15">
      <c r="A235" t="s">
        <v>234</v>
      </c>
      <c r="C235" t="s">
        <v>1096</v>
      </c>
      <c r="F235" t="s">
        <v>475</v>
      </c>
    </row>
    <row r="236" spans="1:6" x14ac:dyDescent="0.15">
      <c r="A236" t="s">
        <v>235</v>
      </c>
      <c r="C236" t="s">
        <v>1097</v>
      </c>
      <c r="F236" t="s">
        <v>476</v>
      </c>
    </row>
    <row r="237" spans="1:6" x14ac:dyDescent="0.15">
      <c r="A237" t="s">
        <v>236</v>
      </c>
      <c r="C237" t="s">
        <v>1098</v>
      </c>
      <c r="F237" t="s">
        <v>477</v>
      </c>
    </row>
    <row r="238" spans="1:6" x14ac:dyDescent="0.15">
      <c r="A238" t="s">
        <v>237</v>
      </c>
      <c r="C238" t="s">
        <v>1099</v>
      </c>
      <c r="F238" t="s">
        <v>478</v>
      </c>
    </row>
    <row r="239" spans="1:6" x14ac:dyDescent="0.15">
      <c r="A239" t="s">
        <v>238</v>
      </c>
      <c r="C239" t="s">
        <v>1100</v>
      </c>
      <c r="F239" t="s">
        <v>479</v>
      </c>
    </row>
    <row r="240" spans="1:6" x14ac:dyDescent="0.15">
      <c r="A240" t="s">
        <v>239</v>
      </c>
      <c r="C240" t="s">
        <v>1101</v>
      </c>
      <c r="F240" t="s">
        <v>480</v>
      </c>
    </row>
    <row r="241" spans="1:6" x14ac:dyDescent="0.15">
      <c r="A241" t="s">
        <v>240</v>
      </c>
      <c r="C241" t="s">
        <v>1102</v>
      </c>
      <c r="F241" t="s">
        <v>481</v>
      </c>
    </row>
    <row r="242" spans="1:6" x14ac:dyDescent="0.15">
      <c r="A242" t="s">
        <v>241</v>
      </c>
      <c r="C242" t="s">
        <v>1103</v>
      </c>
      <c r="F242" t="s">
        <v>482</v>
      </c>
    </row>
    <row r="243" spans="1:6" x14ac:dyDescent="0.15">
      <c r="A243" t="s">
        <v>242</v>
      </c>
      <c r="C243" t="s">
        <v>1104</v>
      </c>
      <c r="F243" t="s">
        <v>483</v>
      </c>
    </row>
    <row r="244" spans="1:6" x14ac:dyDescent="0.15">
      <c r="A244" t="s">
        <v>1166</v>
      </c>
      <c r="C244" t="s">
        <v>1105</v>
      </c>
      <c r="F244" t="s">
        <v>484</v>
      </c>
    </row>
    <row r="245" spans="1:6" x14ac:dyDescent="0.15">
      <c r="A245" t="s">
        <v>3634</v>
      </c>
      <c r="C245" t="s">
        <v>1106</v>
      </c>
      <c r="F245" t="s">
        <v>485</v>
      </c>
    </row>
    <row r="246" spans="1:6" x14ac:dyDescent="0.15">
      <c r="A246" t="s">
        <v>3635</v>
      </c>
      <c r="C246" t="s">
        <v>1107</v>
      </c>
      <c r="F246" t="s">
        <v>486</v>
      </c>
    </row>
    <row r="247" spans="1:6" x14ac:dyDescent="0.15">
      <c r="A247" t="s">
        <v>9</v>
      </c>
      <c r="C247" t="s">
        <v>1108</v>
      </c>
      <c r="F247" t="s">
        <v>487</v>
      </c>
    </row>
    <row r="248" spans="1:6" x14ac:dyDescent="0.15">
      <c r="A248" t="s">
        <v>3636</v>
      </c>
      <c r="C248" t="s">
        <v>1109</v>
      </c>
      <c r="F248" t="s">
        <v>488</v>
      </c>
    </row>
    <row r="249" spans="1:6" x14ac:dyDescent="0.15">
      <c r="A249" t="s">
        <v>1286</v>
      </c>
      <c r="C249" t="s">
        <v>1110</v>
      </c>
      <c r="F249" t="s">
        <v>489</v>
      </c>
    </row>
    <row r="250" spans="1:6" x14ac:dyDescent="0.15">
      <c r="A250" t="s">
        <v>3637</v>
      </c>
      <c r="C250" t="s">
        <v>1111</v>
      </c>
      <c r="F250" t="s">
        <v>490</v>
      </c>
    </row>
    <row r="251" spans="1:6" x14ac:dyDescent="0.15">
      <c r="A251" t="s">
        <v>3638</v>
      </c>
      <c r="C251" t="s">
        <v>1112</v>
      </c>
      <c r="F251" t="s">
        <v>491</v>
      </c>
    </row>
    <row r="252" spans="1:6" x14ac:dyDescent="0.15">
      <c r="A252" t="s">
        <v>2598</v>
      </c>
      <c r="C252" t="s">
        <v>1113</v>
      </c>
      <c r="F252" t="s">
        <v>492</v>
      </c>
    </row>
    <row r="253" spans="1:6" x14ac:dyDescent="0.15">
      <c r="A253" t="s">
        <v>3639</v>
      </c>
      <c r="C253" t="s">
        <v>1114</v>
      </c>
      <c r="F253" t="s">
        <v>493</v>
      </c>
    </row>
    <row r="254" spans="1:6" x14ac:dyDescent="0.15">
      <c r="A254" t="s">
        <v>3640</v>
      </c>
      <c r="C254" t="s">
        <v>1115</v>
      </c>
      <c r="F254" t="s">
        <v>494</v>
      </c>
    </row>
    <row r="255" spans="1:6" x14ac:dyDescent="0.15">
      <c r="A255" t="s">
        <v>3641</v>
      </c>
      <c r="C255" t="s">
        <v>1116</v>
      </c>
      <c r="F255" t="s">
        <v>495</v>
      </c>
    </row>
    <row r="256" spans="1:6" x14ac:dyDescent="0.15">
      <c r="A256" t="s">
        <v>1087</v>
      </c>
      <c r="C256" t="s">
        <v>1117</v>
      </c>
      <c r="F256" t="s">
        <v>496</v>
      </c>
    </row>
    <row r="257" spans="1:6" x14ac:dyDescent="0.15">
      <c r="A257" t="s">
        <v>3642</v>
      </c>
      <c r="C257" t="s">
        <v>1118</v>
      </c>
      <c r="F257" t="s">
        <v>497</v>
      </c>
    </row>
    <row r="258" spans="1:6" x14ac:dyDescent="0.15">
      <c r="A258" t="s">
        <v>3643</v>
      </c>
      <c r="C258" t="s">
        <v>2838</v>
      </c>
      <c r="F258" t="s">
        <v>498</v>
      </c>
    </row>
    <row r="259" spans="1:6" x14ac:dyDescent="0.15">
      <c r="A259" t="s">
        <v>2064</v>
      </c>
      <c r="C259" t="s">
        <v>2839</v>
      </c>
      <c r="F259" t="s">
        <v>499</v>
      </c>
    </row>
    <row r="260" spans="1:6" x14ac:dyDescent="0.15">
      <c r="A260" t="s">
        <v>2039</v>
      </c>
      <c r="C260" t="s">
        <v>2840</v>
      </c>
      <c r="F260" t="s">
        <v>500</v>
      </c>
    </row>
    <row r="261" spans="1:6" x14ac:dyDescent="0.15">
      <c r="A261" t="s">
        <v>3644</v>
      </c>
      <c r="C261" t="s">
        <v>2841</v>
      </c>
      <c r="F261" t="s">
        <v>501</v>
      </c>
    </row>
    <row r="262" spans="1:6" x14ac:dyDescent="0.15">
      <c r="A262" t="s">
        <v>3645</v>
      </c>
      <c r="C262" t="s">
        <v>2842</v>
      </c>
      <c r="F262" t="s">
        <v>502</v>
      </c>
    </row>
    <row r="263" spans="1:6" x14ac:dyDescent="0.15">
      <c r="A263" t="s">
        <v>3646</v>
      </c>
      <c r="C263" t="s">
        <v>2147</v>
      </c>
      <c r="F263" t="s">
        <v>503</v>
      </c>
    </row>
    <row r="264" spans="1:6" x14ac:dyDescent="0.15">
      <c r="A264" t="s">
        <v>2157</v>
      </c>
      <c r="C264" t="s">
        <v>2843</v>
      </c>
      <c r="F264" t="s">
        <v>504</v>
      </c>
    </row>
    <row r="265" spans="1:6" x14ac:dyDescent="0.15">
      <c r="A265" t="s">
        <v>230</v>
      </c>
      <c r="C265" t="s">
        <v>2844</v>
      </c>
      <c r="F265" t="s">
        <v>505</v>
      </c>
    </row>
    <row r="266" spans="1:6" x14ac:dyDescent="0.15">
      <c r="A266" t="s">
        <v>3647</v>
      </c>
      <c r="C266" t="s">
        <v>2845</v>
      </c>
      <c r="F266" t="s">
        <v>506</v>
      </c>
    </row>
    <row r="267" spans="1:6" x14ac:dyDescent="0.15">
      <c r="A267" t="s">
        <v>3648</v>
      </c>
      <c r="C267" t="s">
        <v>2846</v>
      </c>
      <c r="F267" t="s">
        <v>507</v>
      </c>
    </row>
    <row r="268" spans="1:6" x14ac:dyDescent="0.15">
      <c r="A268" t="s">
        <v>182</v>
      </c>
      <c r="C268" t="s">
        <v>2847</v>
      </c>
      <c r="F268" t="s">
        <v>508</v>
      </c>
    </row>
    <row r="269" spans="1:6" x14ac:dyDescent="0.15">
      <c r="A269" t="s">
        <v>3649</v>
      </c>
      <c r="C269" t="s">
        <v>2848</v>
      </c>
      <c r="F269" t="s">
        <v>509</v>
      </c>
    </row>
    <row r="270" spans="1:6" x14ac:dyDescent="0.15">
      <c r="A270" t="s">
        <v>55</v>
      </c>
      <c r="C270" t="s">
        <v>2849</v>
      </c>
      <c r="F270" t="s">
        <v>510</v>
      </c>
    </row>
    <row r="271" spans="1:6" x14ac:dyDescent="0.15">
      <c r="A271" t="s">
        <v>3650</v>
      </c>
      <c r="C271" t="s">
        <v>2850</v>
      </c>
      <c r="F271" t="s">
        <v>511</v>
      </c>
    </row>
    <row r="272" spans="1:6" x14ac:dyDescent="0.15">
      <c r="A272" t="s">
        <v>145</v>
      </c>
      <c r="C272" t="s">
        <v>916</v>
      </c>
      <c r="F272" t="s">
        <v>512</v>
      </c>
    </row>
    <row r="273" spans="1:6" x14ac:dyDescent="0.15">
      <c r="A273" t="s">
        <v>3651</v>
      </c>
      <c r="C273" t="s">
        <v>2851</v>
      </c>
      <c r="F273" t="s">
        <v>513</v>
      </c>
    </row>
    <row r="274" spans="1:6" x14ac:dyDescent="0.15">
      <c r="A274" t="s">
        <v>3652</v>
      </c>
      <c r="C274" t="s">
        <v>2852</v>
      </c>
      <c r="F274" t="s">
        <v>514</v>
      </c>
    </row>
    <row r="275" spans="1:6" x14ac:dyDescent="0.15">
      <c r="A275" t="s">
        <v>3653</v>
      </c>
      <c r="C275" t="s">
        <v>2853</v>
      </c>
      <c r="F275" t="s">
        <v>515</v>
      </c>
    </row>
    <row r="276" spans="1:6" x14ac:dyDescent="0.15">
      <c r="A276" t="s">
        <v>3654</v>
      </c>
      <c r="C276" t="s">
        <v>2854</v>
      </c>
      <c r="F276" t="s">
        <v>516</v>
      </c>
    </row>
    <row r="277" spans="1:6" x14ac:dyDescent="0.15">
      <c r="A277" t="s">
        <v>3655</v>
      </c>
      <c r="C277" t="s">
        <v>2855</v>
      </c>
      <c r="F277" t="s">
        <v>517</v>
      </c>
    </row>
    <row r="278" spans="1:6" x14ac:dyDescent="0.15">
      <c r="A278" t="s">
        <v>259</v>
      </c>
      <c r="C278" t="s">
        <v>2856</v>
      </c>
      <c r="F278" t="s">
        <v>518</v>
      </c>
    </row>
    <row r="279" spans="1:6" x14ac:dyDescent="0.15">
      <c r="A279" t="s">
        <v>3656</v>
      </c>
      <c r="C279" t="s">
        <v>2857</v>
      </c>
      <c r="F279" t="s">
        <v>519</v>
      </c>
    </row>
    <row r="280" spans="1:6" x14ac:dyDescent="0.15">
      <c r="A280" t="s">
        <v>284</v>
      </c>
      <c r="C280" t="s">
        <v>2858</v>
      </c>
      <c r="F280" t="s">
        <v>520</v>
      </c>
    </row>
    <row r="281" spans="1:6" x14ac:dyDescent="0.15">
      <c r="A281" t="s">
        <v>2447</v>
      </c>
      <c r="C281" t="s">
        <v>2859</v>
      </c>
      <c r="F281" t="s">
        <v>521</v>
      </c>
    </row>
    <row r="282" spans="1:6" x14ac:dyDescent="0.15">
      <c r="A282" t="s">
        <v>167</v>
      </c>
      <c r="C282" t="s">
        <v>2860</v>
      </c>
      <c r="F282" t="s">
        <v>522</v>
      </c>
    </row>
    <row r="283" spans="1:6" x14ac:dyDescent="0.15">
      <c r="A283" t="s">
        <v>3657</v>
      </c>
      <c r="C283" t="s">
        <v>2861</v>
      </c>
      <c r="F283" t="s">
        <v>523</v>
      </c>
    </row>
    <row r="284" spans="1:6" x14ac:dyDescent="0.15">
      <c r="A284" t="s">
        <v>303</v>
      </c>
      <c r="C284" t="s">
        <v>2862</v>
      </c>
      <c r="F284" t="s">
        <v>524</v>
      </c>
    </row>
    <row r="285" spans="1:6" x14ac:dyDescent="0.15">
      <c r="A285" t="s">
        <v>3658</v>
      </c>
      <c r="C285" t="s">
        <v>2863</v>
      </c>
      <c r="F285" t="s">
        <v>525</v>
      </c>
    </row>
    <row r="286" spans="1:6" x14ac:dyDescent="0.15">
      <c r="A286" t="s">
        <v>875</v>
      </c>
      <c r="C286" t="s">
        <v>2864</v>
      </c>
      <c r="F286" t="s">
        <v>526</v>
      </c>
    </row>
    <row r="287" spans="1:6" x14ac:dyDescent="0.15">
      <c r="A287" t="s">
        <v>530</v>
      </c>
      <c r="C287" t="s">
        <v>2865</v>
      </c>
      <c r="F287" t="s">
        <v>527</v>
      </c>
    </row>
    <row r="288" spans="1:6" x14ac:dyDescent="0.15">
      <c r="A288" t="s">
        <v>3659</v>
      </c>
      <c r="C288" t="s">
        <v>2866</v>
      </c>
      <c r="F288" t="s">
        <v>528</v>
      </c>
    </row>
    <row r="289" spans="1:6" x14ac:dyDescent="0.15">
      <c r="A289" t="s">
        <v>3660</v>
      </c>
      <c r="C289" t="s">
        <v>2867</v>
      </c>
      <c r="F289" t="s">
        <v>529</v>
      </c>
    </row>
    <row r="290" spans="1:6" x14ac:dyDescent="0.15">
      <c r="A290" t="s">
        <v>225</v>
      </c>
      <c r="C290" t="s">
        <v>2868</v>
      </c>
      <c r="F290" t="s">
        <v>530</v>
      </c>
    </row>
    <row r="291" spans="1:6" x14ac:dyDescent="0.15">
      <c r="A291" t="s">
        <v>105</v>
      </c>
      <c r="C291" t="s">
        <v>2869</v>
      </c>
      <c r="F291" t="s">
        <v>531</v>
      </c>
    </row>
    <row r="292" spans="1:6" x14ac:dyDescent="0.15">
      <c r="A292" t="s">
        <v>1969</v>
      </c>
      <c r="C292" t="s">
        <v>2870</v>
      </c>
      <c r="F292" t="s">
        <v>532</v>
      </c>
    </row>
    <row r="293" spans="1:6" x14ac:dyDescent="0.15">
      <c r="A293" t="s">
        <v>1251</v>
      </c>
      <c r="C293" t="s">
        <v>2871</v>
      </c>
      <c r="F293" t="s">
        <v>533</v>
      </c>
    </row>
    <row r="294" spans="1:6" x14ac:dyDescent="0.15">
      <c r="A294" t="s">
        <v>1334</v>
      </c>
      <c r="C294" t="s">
        <v>2872</v>
      </c>
      <c r="F294" t="s">
        <v>534</v>
      </c>
    </row>
    <row r="295" spans="1:6" x14ac:dyDescent="0.15">
      <c r="A295" t="s">
        <v>3661</v>
      </c>
      <c r="C295" t="s">
        <v>2873</v>
      </c>
      <c r="F295" t="s">
        <v>49</v>
      </c>
    </row>
    <row r="296" spans="1:6" x14ac:dyDescent="0.15">
      <c r="A296" t="s">
        <v>3662</v>
      </c>
      <c r="C296" t="s">
        <v>2874</v>
      </c>
      <c r="F296" t="s">
        <v>535</v>
      </c>
    </row>
    <row r="297" spans="1:6" x14ac:dyDescent="0.15">
      <c r="A297" t="s">
        <v>1122</v>
      </c>
      <c r="C297" t="s">
        <v>2875</v>
      </c>
      <c r="F297" t="s">
        <v>12</v>
      </c>
    </row>
    <row r="298" spans="1:6" x14ac:dyDescent="0.15">
      <c r="A298" t="s">
        <v>3663</v>
      </c>
      <c r="C298" t="s">
        <v>2876</v>
      </c>
      <c r="F298" t="s">
        <v>536</v>
      </c>
    </row>
    <row r="299" spans="1:6" x14ac:dyDescent="0.15">
      <c r="A299" t="s">
        <v>3664</v>
      </c>
      <c r="C299" t="s">
        <v>2877</v>
      </c>
      <c r="F299" t="s">
        <v>537</v>
      </c>
    </row>
    <row r="300" spans="1:6" x14ac:dyDescent="0.15">
      <c r="A300" t="s">
        <v>936</v>
      </c>
      <c r="C300" t="s">
        <v>2878</v>
      </c>
      <c r="F300" t="s">
        <v>538</v>
      </c>
    </row>
    <row r="301" spans="1:6" x14ac:dyDescent="0.15">
      <c r="A301" t="s">
        <v>3665</v>
      </c>
      <c r="C301" t="s">
        <v>2879</v>
      </c>
      <c r="F301" t="s">
        <v>539</v>
      </c>
    </row>
    <row r="302" spans="1:6" x14ac:dyDescent="0.15">
      <c r="A302" t="s">
        <v>21</v>
      </c>
      <c r="C302" t="s">
        <v>2880</v>
      </c>
      <c r="F302" t="s">
        <v>540</v>
      </c>
    </row>
    <row r="303" spans="1:6" x14ac:dyDescent="0.15">
      <c r="A303" t="s">
        <v>3666</v>
      </c>
      <c r="C303" t="s">
        <v>2881</v>
      </c>
      <c r="F303" t="s">
        <v>541</v>
      </c>
    </row>
    <row r="304" spans="1:6" x14ac:dyDescent="0.15">
      <c r="A304" t="s">
        <v>3667</v>
      </c>
      <c r="C304" t="s">
        <v>2882</v>
      </c>
      <c r="F304" t="s">
        <v>542</v>
      </c>
    </row>
    <row r="305" spans="1:6" x14ac:dyDescent="0.15">
      <c r="A305" t="s">
        <v>3668</v>
      </c>
      <c r="C305" t="s">
        <v>2883</v>
      </c>
      <c r="F305" t="s">
        <v>543</v>
      </c>
    </row>
    <row r="306" spans="1:6" x14ac:dyDescent="0.15">
      <c r="A306" t="s">
        <v>3669</v>
      </c>
      <c r="C306" t="s">
        <v>2884</v>
      </c>
      <c r="F306" t="s">
        <v>544</v>
      </c>
    </row>
    <row r="307" spans="1:6" x14ac:dyDescent="0.15">
      <c r="A307" t="s">
        <v>2207</v>
      </c>
      <c r="C307" t="s">
        <v>2885</v>
      </c>
      <c r="F307" t="s">
        <v>545</v>
      </c>
    </row>
    <row r="308" spans="1:6" x14ac:dyDescent="0.15">
      <c r="A308" t="s">
        <v>3670</v>
      </c>
      <c r="C308" t="s">
        <v>2886</v>
      </c>
      <c r="F308" t="s">
        <v>546</v>
      </c>
    </row>
    <row r="309" spans="1:6" x14ac:dyDescent="0.15">
      <c r="A309" t="s">
        <v>834</v>
      </c>
      <c r="C309" t="s">
        <v>2887</v>
      </c>
      <c r="F309" t="s">
        <v>547</v>
      </c>
    </row>
    <row r="310" spans="1:6" x14ac:dyDescent="0.15">
      <c r="A310" t="s">
        <v>2050</v>
      </c>
      <c r="C310" t="s">
        <v>2888</v>
      </c>
      <c r="F310" t="s">
        <v>548</v>
      </c>
    </row>
    <row r="311" spans="1:6" x14ac:dyDescent="0.15">
      <c r="A311" t="s">
        <v>3671</v>
      </c>
      <c r="C311" t="s">
        <v>1056</v>
      </c>
      <c r="F311" t="s">
        <v>549</v>
      </c>
    </row>
    <row r="312" spans="1:6" x14ac:dyDescent="0.15">
      <c r="A312" t="s">
        <v>3672</v>
      </c>
      <c r="C312" t="s">
        <v>2889</v>
      </c>
      <c r="F312" t="s">
        <v>550</v>
      </c>
    </row>
    <row r="313" spans="1:6" x14ac:dyDescent="0.15">
      <c r="A313" t="s">
        <v>241</v>
      </c>
      <c r="C313" t="s">
        <v>2890</v>
      </c>
      <c r="F313" t="s">
        <v>551</v>
      </c>
    </row>
    <row r="314" spans="1:6" x14ac:dyDescent="0.15">
      <c r="A314" t="s">
        <v>580</v>
      </c>
      <c r="C314" t="s">
        <v>2891</v>
      </c>
      <c r="F314" t="s">
        <v>552</v>
      </c>
    </row>
    <row r="315" spans="1:6" x14ac:dyDescent="0.15">
      <c r="A315" t="s">
        <v>2287</v>
      </c>
      <c r="C315" t="s">
        <v>2892</v>
      </c>
      <c r="F315" t="s">
        <v>553</v>
      </c>
    </row>
    <row r="316" spans="1:6" x14ac:dyDescent="0.15">
      <c r="A316" t="s">
        <v>3673</v>
      </c>
      <c r="C316" t="s">
        <v>2893</v>
      </c>
      <c r="F316" t="s">
        <v>554</v>
      </c>
    </row>
    <row r="317" spans="1:6" x14ac:dyDescent="0.15">
      <c r="A317" t="s">
        <v>2032</v>
      </c>
      <c r="C317" t="s">
        <v>2894</v>
      </c>
      <c r="F317" t="s">
        <v>555</v>
      </c>
    </row>
    <row r="318" spans="1:6" x14ac:dyDescent="0.15">
      <c r="A318" t="s">
        <v>3674</v>
      </c>
      <c r="C318" t="s">
        <v>2895</v>
      </c>
      <c r="F318" t="s">
        <v>556</v>
      </c>
    </row>
    <row r="319" spans="1:6" x14ac:dyDescent="0.15">
      <c r="A319" t="s">
        <v>1729</v>
      </c>
      <c r="C319" t="s">
        <v>2896</v>
      </c>
      <c r="F319" t="s">
        <v>557</v>
      </c>
    </row>
    <row r="320" spans="1:6" x14ac:dyDescent="0.15">
      <c r="A320" t="s">
        <v>3675</v>
      </c>
      <c r="C320" t="s">
        <v>2897</v>
      </c>
      <c r="F320" t="s">
        <v>558</v>
      </c>
    </row>
    <row r="321" spans="1:6" x14ac:dyDescent="0.15">
      <c r="A321" t="s">
        <v>3676</v>
      </c>
      <c r="C321" t="s">
        <v>2898</v>
      </c>
      <c r="F321" t="s">
        <v>559</v>
      </c>
    </row>
    <row r="322" spans="1:6" x14ac:dyDescent="0.15">
      <c r="A322" t="s">
        <v>431</v>
      </c>
      <c r="C322" t="s">
        <v>2899</v>
      </c>
      <c r="F322" t="s">
        <v>560</v>
      </c>
    </row>
    <row r="323" spans="1:6" x14ac:dyDescent="0.15">
      <c r="A323" t="s">
        <v>3677</v>
      </c>
      <c r="C323" t="s">
        <v>2900</v>
      </c>
      <c r="F323" t="s">
        <v>561</v>
      </c>
    </row>
    <row r="324" spans="1:6" x14ac:dyDescent="0.15">
      <c r="A324" t="s">
        <v>1021</v>
      </c>
      <c r="C324" t="s">
        <v>2901</v>
      </c>
      <c r="F324" t="s">
        <v>562</v>
      </c>
    </row>
    <row r="325" spans="1:6" x14ac:dyDescent="0.15">
      <c r="A325" t="s">
        <v>3678</v>
      </c>
      <c r="C325" t="s">
        <v>2902</v>
      </c>
      <c r="F325" t="s">
        <v>563</v>
      </c>
    </row>
    <row r="326" spans="1:6" x14ac:dyDescent="0.15">
      <c r="A326" t="s">
        <v>3679</v>
      </c>
      <c r="C326" t="s">
        <v>2903</v>
      </c>
      <c r="F326" t="s">
        <v>564</v>
      </c>
    </row>
    <row r="327" spans="1:6" x14ac:dyDescent="0.15">
      <c r="A327" t="s">
        <v>1137</v>
      </c>
      <c r="C327" t="s">
        <v>2904</v>
      </c>
      <c r="F327" t="s">
        <v>565</v>
      </c>
    </row>
    <row r="328" spans="1:6" x14ac:dyDescent="0.15">
      <c r="A328" t="s">
        <v>3680</v>
      </c>
      <c r="C328" t="s">
        <v>2905</v>
      </c>
      <c r="F328" t="s">
        <v>566</v>
      </c>
    </row>
    <row r="329" spans="1:6" x14ac:dyDescent="0.15">
      <c r="A329" t="s">
        <v>170</v>
      </c>
      <c r="C329" t="s">
        <v>2906</v>
      </c>
      <c r="F329" t="s">
        <v>567</v>
      </c>
    </row>
    <row r="330" spans="1:6" x14ac:dyDescent="0.15">
      <c r="A330" t="s">
        <v>2117</v>
      </c>
      <c r="C330" t="s">
        <v>2907</v>
      </c>
      <c r="F330" t="s">
        <v>568</v>
      </c>
    </row>
    <row r="331" spans="1:6" x14ac:dyDescent="0.15">
      <c r="A331" t="s">
        <v>2570</v>
      </c>
      <c r="C331" t="s">
        <v>2908</v>
      </c>
      <c r="F331" t="s">
        <v>569</v>
      </c>
    </row>
    <row r="332" spans="1:6" x14ac:dyDescent="0.15">
      <c r="A332" t="s">
        <v>3681</v>
      </c>
      <c r="C332" t="s">
        <v>2909</v>
      </c>
      <c r="F332" t="s">
        <v>570</v>
      </c>
    </row>
    <row r="333" spans="1:6" x14ac:dyDescent="0.15">
      <c r="A333" t="s">
        <v>3682</v>
      </c>
      <c r="C333" t="s">
        <v>2910</v>
      </c>
      <c r="F333" t="s">
        <v>571</v>
      </c>
    </row>
    <row r="334" spans="1:6" x14ac:dyDescent="0.15">
      <c r="A334" t="s">
        <v>143</v>
      </c>
      <c r="C334" t="s">
        <v>2911</v>
      </c>
      <c r="F334" t="s">
        <v>572</v>
      </c>
    </row>
    <row r="335" spans="1:6" x14ac:dyDescent="0.15">
      <c r="A335" t="s">
        <v>3683</v>
      </c>
      <c r="C335" t="s">
        <v>2912</v>
      </c>
      <c r="F335" t="s">
        <v>573</v>
      </c>
    </row>
    <row r="336" spans="1:6" x14ac:dyDescent="0.15">
      <c r="A336" t="s">
        <v>3684</v>
      </c>
      <c r="C336" t="s">
        <v>2913</v>
      </c>
      <c r="F336" t="s">
        <v>574</v>
      </c>
    </row>
    <row r="337" spans="1:6" x14ac:dyDescent="0.15">
      <c r="A337" t="s">
        <v>3685</v>
      </c>
      <c r="C337" t="s">
        <v>2914</v>
      </c>
      <c r="F337" t="s">
        <v>575</v>
      </c>
    </row>
    <row r="338" spans="1:6" x14ac:dyDescent="0.15">
      <c r="A338" t="s">
        <v>3686</v>
      </c>
      <c r="C338" t="s">
        <v>2915</v>
      </c>
      <c r="F338" t="s">
        <v>576</v>
      </c>
    </row>
    <row r="339" spans="1:6" x14ac:dyDescent="0.15">
      <c r="A339" t="s">
        <v>3687</v>
      </c>
      <c r="C339" t="s">
        <v>893</v>
      </c>
      <c r="F339" t="s">
        <v>577</v>
      </c>
    </row>
    <row r="340" spans="1:6" x14ac:dyDescent="0.15">
      <c r="A340" t="s">
        <v>3688</v>
      </c>
      <c r="C340" t="s">
        <v>2916</v>
      </c>
      <c r="F340" t="s">
        <v>578</v>
      </c>
    </row>
    <row r="341" spans="1:6" x14ac:dyDescent="0.15">
      <c r="A341" t="s">
        <v>3689</v>
      </c>
      <c r="C341" t="s">
        <v>2917</v>
      </c>
      <c r="F341" t="s">
        <v>579</v>
      </c>
    </row>
    <row r="342" spans="1:6" x14ac:dyDescent="0.15">
      <c r="A342" t="s">
        <v>3690</v>
      </c>
      <c r="C342" t="s">
        <v>2918</v>
      </c>
      <c r="F342" t="s">
        <v>580</v>
      </c>
    </row>
    <row r="343" spans="1:6" x14ac:dyDescent="0.15">
      <c r="A343" t="s">
        <v>73</v>
      </c>
      <c r="C343" t="s">
        <v>986</v>
      </c>
      <c r="F343" t="s">
        <v>581</v>
      </c>
    </row>
    <row r="344" spans="1:6" x14ac:dyDescent="0.15">
      <c r="A344" t="s">
        <v>3691</v>
      </c>
      <c r="C344" t="s">
        <v>2919</v>
      </c>
      <c r="F344" t="s">
        <v>582</v>
      </c>
    </row>
    <row r="345" spans="1:6" x14ac:dyDescent="0.15">
      <c r="A345" t="s">
        <v>2178</v>
      </c>
      <c r="C345" t="s">
        <v>2920</v>
      </c>
      <c r="F345" t="s">
        <v>583</v>
      </c>
    </row>
    <row r="346" spans="1:6" x14ac:dyDescent="0.15">
      <c r="A346" t="s">
        <v>1550</v>
      </c>
      <c r="C346" t="s">
        <v>2921</v>
      </c>
      <c r="F346" t="s">
        <v>584</v>
      </c>
    </row>
    <row r="347" spans="1:6" x14ac:dyDescent="0.15">
      <c r="A347" t="s">
        <v>153</v>
      </c>
      <c r="C347" t="s">
        <v>2922</v>
      </c>
      <c r="F347" t="s">
        <v>585</v>
      </c>
    </row>
    <row r="348" spans="1:6" x14ac:dyDescent="0.15">
      <c r="A348" t="s">
        <v>3692</v>
      </c>
      <c r="C348" t="s">
        <v>2923</v>
      </c>
      <c r="F348" t="s">
        <v>586</v>
      </c>
    </row>
    <row r="349" spans="1:6" x14ac:dyDescent="0.15">
      <c r="A349" t="s">
        <v>3693</v>
      </c>
      <c r="C349" t="s">
        <v>2924</v>
      </c>
      <c r="F349" t="s">
        <v>19</v>
      </c>
    </row>
    <row r="350" spans="1:6" x14ac:dyDescent="0.15">
      <c r="A350" t="s">
        <v>3694</v>
      </c>
      <c r="C350" t="s">
        <v>2925</v>
      </c>
      <c r="F350" t="s">
        <v>587</v>
      </c>
    </row>
    <row r="351" spans="1:6" x14ac:dyDescent="0.15">
      <c r="A351" t="s">
        <v>11</v>
      </c>
      <c r="C351" t="s">
        <v>2926</v>
      </c>
      <c r="F351" t="s">
        <v>588</v>
      </c>
    </row>
    <row r="352" spans="1:6" x14ac:dyDescent="0.15">
      <c r="A352" t="s">
        <v>3695</v>
      </c>
      <c r="C352" t="s">
        <v>2927</v>
      </c>
      <c r="F352" t="s">
        <v>589</v>
      </c>
    </row>
    <row r="353" spans="1:6" x14ac:dyDescent="0.15">
      <c r="A353" t="s">
        <v>944</v>
      </c>
      <c r="C353" t="s">
        <v>2928</v>
      </c>
      <c r="F353" t="s">
        <v>590</v>
      </c>
    </row>
    <row r="354" spans="1:6" x14ac:dyDescent="0.15">
      <c r="A354" t="s">
        <v>3696</v>
      </c>
      <c r="C354" t="s">
        <v>2929</v>
      </c>
      <c r="F354" t="s">
        <v>591</v>
      </c>
    </row>
    <row r="355" spans="1:6" x14ac:dyDescent="0.15">
      <c r="A355" t="s">
        <v>3697</v>
      </c>
      <c r="C355" t="s">
        <v>2930</v>
      </c>
      <c r="F355" t="s">
        <v>592</v>
      </c>
    </row>
    <row r="356" spans="1:6" x14ac:dyDescent="0.15">
      <c r="A356" t="s">
        <v>3698</v>
      </c>
      <c r="C356" t="s">
        <v>2931</v>
      </c>
      <c r="F356" t="s">
        <v>593</v>
      </c>
    </row>
    <row r="357" spans="1:6" x14ac:dyDescent="0.15">
      <c r="A357" t="s">
        <v>3699</v>
      </c>
      <c r="C357" t="s">
        <v>2932</v>
      </c>
      <c r="F357" t="s">
        <v>594</v>
      </c>
    </row>
    <row r="358" spans="1:6" x14ac:dyDescent="0.15">
      <c r="A358" t="s">
        <v>3700</v>
      </c>
      <c r="C358" t="s">
        <v>2933</v>
      </c>
      <c r="F358" t="s">
        <v>595</v>
      </c>
    </row>
    <row r="359" spans="1:6" x14ac:dyDescent="0.15">
      <c r="A359" t="s">
        <v>3701</v>
      </c>
      <c r="C359" t="s">
        <v>2934</v>
      </c>
      <c r="F359" t="s">
        <v>596</v>
      </c>
    </row>
    <row r="360" spans="1:6" x14ac:dyDescent="0.15">
      <c r="A360" t="s">
        <v>1609</v>
      </c>
      <c r="C360" t="s">
        <v>2935</v>
      </c>
      <c r="F360" t="s">
        <v>597</v>
      </c>
    </row>
    <row r="361" spans="1:6" x14ac:dyDescent="0.15">
      <c r="A361" t="s">
        <v>3702</v>
      </c>
      <c r="C361" t="s">
        <v>2936</v>
      </c>
      <c r="F361" t="s">
        <v>598</v>
      </c>
    </row>
    <row r="362" spans="1:6" x14ac:dyDescent="0.15">
      <c r="A362" t="s">
        <v>3703</v>
      </c>
      <c r="C362" t="s">
        <v>2937</v>
      </c>
      <c r="F362" t="s">
        <v>599</v>
      </c>
    </row>
    <row r="363" spans="1:6" x14ac:dyDescent="0.15">
      <c r="A363" t="s">
        <v>3704</v>
      </c>
      <c r="C363" t="s">
        <v>2938</v>
      </c>
      <c r="F363" t="s">
        <v>600</v>
      </c>
    </row>
    <row r="364" spans="1:6" x14ac:dyDescent="0.15">
      <c r="A364" t="s">
        <v>57</v>
      </c>
      <c r="C364" t="s">
        <v>1086</v>
      </c>
      <c r="F364" t="s">
        <v>601</v>
      </c>
    </row>
    <row r="365" spans="1:6" x14ac:dyDescent="0.15">
      <c r="A365" t="s">
        <v>2218</v>
      </c>
      <c r="C365" t="s">
        <v>2939</v>
      </c>
      <c r="F365" t="s">
        <v>602</v>
      </c>
    </row>
    <row r="366" spans="1:6" x14ac:dyDescent="0.15">
      <c r="A366" t="s">
        <v>3705</v>
      </c>
      <c r="C366" t="s">
        <v>2940</v>
      </c>
      <c r="F366" t="s">
        <v>603</v>
      </c>
    </row>
    <row r="367" spans="1:6" x14ac:dyDescent="0.15">
      <c r="A367" t="s">
        <v>3706</v>
      </c>
      <c r="C367" t="s">
        <v>2941</v>
      </c>
      <c r="F367" t="s">
        <v>604</v>
      </c>
    </row>
    <row r="368" spans="1:6" x14ac:dyDescent="0.15">
      <c r="A368" t="s">
        <v>1414</v>
      </c>
      <c r="C368" t="s">
        <v>2942</v>
      </c>
      <c r="F368" t="s">
        <v>605</v>
      </c>
    </row>
    <row r="369" spans="1:6" x14ac:dyDescent="0.15">
      <c r="A369" t="s">
        <v>1420</v>
      </c>
      <c r="C369" t="s">
        <v>2943</v>
      </c>
      <c r="F369" t="s">
        <v>606</v>
      </c>
    </row>
    <row r="370" spans="1:6" x14ac:dyDescent="0.15">
      <c r="A370" t="s">
        <v>1454</v>
      </c>
      <c r="C370" t="s">
        <v>2944</v>
      </c>
      <c r="F370" t="s">
        <v>607</v>
      </c>
    </row>
    <row r="371" spans="1:6" x14ac:dyDescent="0.15">
      <c r="A371" t="s">
        <v>3707</v>
      </c>
      <c r="C371" t="s">
        <v>2945</v>
      </c>
      <c r="F371" t="s">
        <v>608</v>
      </c>
    </row>
    <row r="372" spans="1:6" x14ac:dyDescent="0.15">
      <c r="A372" t="s">
        <v>280</v>
      </c>
      <c r="C372" t="s">
        <v>2946</v>
      </c>
      <c r="F372" t="s">
        <v>609</v>
      </c>
    </row>
    <row r="373" spans="1:6" x14ac:dyDescent="0.15">
      <c r="A373" t="s">
        <v>3708</v>
      </c>
      <c r="C373" t="s">
        <v>2947</v>
      </c>
      <c r="F373" t="s">
        <v>610</v>
      </c>
    </row>
    <row r="374" spans="1:6" x14ac:dyDescent="0.15">
      <c r="A374" t="s">
        <v>3709</v>
      </c>
      <c r="C374" t="s">
        <v>2948</v>
      </c>
      <c r="F374" t="s">
        <v>611</v>
      </c>
    </row>
    <row r="375" spans="1:6" x14ac:dyDescent="0.15">
      <c r="A375" t="s">
        <v>3710</v>
      </c>
      <c r="C375" t="s">
        <v>2949</v>
      </c>
      <c r="F375" t="s">
        <v>612</v>
      </c>
    </row>
    <row r="376" spans="1:6" x14ac:dyDescent="0.15">
      <c r="A376" t="s">
        <v>1735</v>
      </c>
      <c r="C376" t="s">
        <v>2950</v>
      </c>
      <c r="F376" t="s">
        <v>613</v>
      </c>
    </row>
    <row r="377" spans="1:6" x14ac:dyDescent="0.15">
      <c r="A377" t="s">
        <v>2729</v>
      </c>
      <c r="C377" t="s">
        <v>2951</v>
      </c>
      <c r="F377" t="s">
        <v>614</v>
      </c>
    </row>
    <row r="378" spans="1:6" x14ac:dyDescent="0.15">
      <c r="A378" t="s">
        <v>3711</v>
      </c>
      <c r="C378" t="s">
        <v>2952</v>
      </c>
      <c r="F378" t="s">
        <v>615</v>
      </c>
    </row>
    <row r="379" spans="1:6" x14ac:dyDescent="0.15">
      <c r="A379" t="s">
        <v>2567</v>
      </c>
      <c r="C379" t="s">
        <v>2953</v>
      </c>
      <c r="F379" t="s">
        <v>616</v>
      </c>
    </row>
    <row r="380" spans="1:6" x14ac:dyDescent="0.15">
      <c r="A380" t="s">
        <v>3712</v>
      </c>
      <c r="C380" t="s">
        <v>2954</v>
      </c>
      <c r="F380" t="s">
        <v>150</v>
      </c>
    </row>
    <row r="381" spans="1:6" x14ac:dyDescent="0.15">
      <c r="A381" t="s">
        <v>1365</v>
      </c>
      <c r="C381" t="s">
        <v>2955</v>
      </c>
      <c r="F381" t="s">
        <v>617</v>
      </c>
    </row>
    <row r="382" spans="1:6" x14ac:dyDescent="0.15">
      <c r="A382" t="s">
        <v>3713</v>
      </c>
      <c r="C382" t="s">
        <v>2956</v>
      </c>
      <c r="F382" t="s">
        <v>618</v>
      </c>
    </row>
    <row r="383" spans="1:6" x14ac:dyDescent="0.15">
      <c r="A383" t="s">
        <v>3714</v>
      </c>
      <c r="C383" t="s">
        <v>2957</v>
      </c>
      <c r="F383" t="s">
        <v>619</v>
      </c>
    </row>
    <row r="384" spans="1:6" x14ac:dyDescent="0.15">
      <c r="A384" t="s">
        <v>3715</v>
      </c>
      <c r="C384" t="s">
        <v>2958</v>
      </c>
      <c r="F384" t="s">
        <v>620</v>
      </c>
    </row>
    <row r="385" spans="1:6" x14ac:dyDescent="0.15">
      <c r="A385" t="s">
        <v>3716</v>
      </c>
      <c r="C385" t="s">
        <v>2959</v>
      </c>
      <c r="F385" t="s">
        <v>621</v>
      </c>
    </row>
    <row r="386" spans="1:6" x14ac:dyDescent="0.15">
      <c r="A386" t="s">
        <v>3717</v>
      </c>
      <c r="C386" t="s">
        <v>2960</v>
      </c>
      <c r="F386" t="s">
        <v>622</v>
      </c>
    </row>
    <row r="387" spans="1:6" x14ac:dyDescent="0.15">
      <c r="A387" t="s">
        <v>3718</v>
      </c>
      <c r="C387" t="s">
        <v>2961</v>
      </c>
      <c r="F387" t="s">
        <v>623</v>
      </c>
    </row>
    <row r="388" spans="1:6" x14ac:dyDescent="0.15">
      <c r="A388" t="s">
        <v>3719</v>
      </c>
      <c r="C388" t="s">
        <v>2962</v>
      </c>
      <c r="F388" t="s">
        <v>624</v>
      </c>
    </row>
    <row r="389" spans="1:6" x14ac:dyDescent="0.15">
      <c r="A389" t="s">
        <v>3720</v>
      </c>
      <c r="C389" t="s">
        <v>2963</v>
      </c>
      <c r="F389" t="s">
        <v>625</v>
      </c>
    </row>
    <row r="390" spans="1:6" x14ac:dyDescent="0.15">
      <c r="A390" t="s">
        <v>3721</v>
      </c>
      <c r="C390" t="s">
        <v>2964</v>
      </c>
      <c r="F390" t="s">
        <v>626</v>
      </c>
    </row>
    <row r="391" spans="1:6" x14ac:dyDescent="0.15">
      <c r="A391" t="s">
        <v>3722</v>
      </c>
      <c r="C391" t="s">
        <v>2965</v>
      </c>
      <c r="F391" t="s">
        <v>627</v>
      </c>
    </row>
    <row r="392" spans="1:6" x14ac:dyDescent="0.15">
      <c r="A392" t="s">
        <v>3723</v>
      </c>
      <c r="C392" t="s">
        <v>2966</v>
      </c>
      <c r="F392" t="s">
        <v>628</v>
      </c>
    </row>
    <row r="393" spans="1:6" x14ac:dyDescent="0.15">
      <c r="A393" t="s">
        <v>2027</v>
      </c>
      <c r="C393" t="s">
        <v>1846</v>
      </c>
      <c r="F393" t="s">
        <v>629</v>
      </c>
    </row>
    <row r="394" spans="1:6" x14ac:dyDescent="0.15">
      <c r="A394" t="s">
        <v>3724</v>
      </c>
      <c r="C394" t="s">
        <v>2967</v>
      </c>
      <c r="F394" t="s">
        <v>630</v>
      </c>
    </row>
    <row r="395" spans="1:6" x14ac:dyDescent="0.15">
      <c r="A395" t="s">
        <v>3725</v>
      </c>
      <c r="C395" t="s">
        <v>883</v>
      </c>
      <c r="F395" t="s">
        <v>631</v>
      </c>
    </row>
    <row r="396" spans="1:6" x14ac:dyDescent="0.15">
      <c r="A396" t="s">
        <v>649</v>
      </c>
      <c r="C396" t="s">
        <v>2968</v>
      </c>
      <c r="F396" t="s">
        <v>632</v>
      </c>
    </row>
    <row r="397" spans="1:6" x14ac:dyDescent="0.15">
      <c r="A397" t="s">
        <v>3726</v>
      </c>
      <c r="C397" t="s">
        <v>2969</v>
      </c>
      <c r="F397" t="s">
        <v>633</v>
      </c>
    </row>
    <row r="398" spans="1:6" x14ac:dyDescent="0.15">
      <c r="A398" t="s">
        <v>3727</v>
      </c>
      <c r="C398" t="s">
        <v>2970</v>
      </c>
      <c r="F398" t="s">
        <v>634</v>
      </c>
    </row>
    <row r="399" spans="1:6" x14ac:dyDescent="0.15">
      <c r="A399" t="s">
        <v>3728</v>
      </c>
      <c r="C399" t="s">
        <v>2971</v>
      </c>
      <c r="F399" t="s">
        <v>635</v>
      </c>
    </row>
    <row r="400" spans="1:6" x14ac:dyDescent="0.15">
      <c r="A400" t="s">
        <v>177</v>
      </c>
      <c r="C400" t="s">
        <v>2972</v>
      </c>
      <c r="F400" t="s">
        <v>636</v>
      </c>
    </row>
    <row r="401" spans="1:6" x14ac:dyDescent="0.15">
      <c r="A401" t="s">
        <v>1423</v>
      </c>
      <c r="C401" t="s">
        <v>2973</v>
      </c>
      <c r="F401" t="s">
        <v>637</v>
      </c>
    </row>
    <row r="402" spans="1:6" x14ac:dyDescent="0.15">
      <c r="A402" t="s">
        <v>3729</v>
      </c>
      <c r="C402" t="s">
        <v>2974</v>
      </c>
      <c r="F402" t="s">
        <v>638</v>
      </c>
    </row>
    <row r="403" spans="1:6" x14ac:dyDescent="0.15">
      <c r="A403" t="s">
        <v>2514</v>
      </c>
      <c r="C403" t="s">
        <v>2975</v>
      </c>
      <c r="F403" t="s">
        <v>639</v>
      </c>
    </row>
    <row r="404" spans="1:6" x14ac:dyDescent="0.15">
      <c r="A404" t="s">
        <v>26</v>
      </c>
      <c r="C404" t="s">
        <v>2976</v>
      </c>
      <c r="F404" t="s">
        <v>640</v>
      </c>
    </row>
    <row r="405" spans="1:6" x14ac:dyDescent="0.15">
      <c r="A405" t="s">
        <v>3730</v>
      </c>
      <c r="C405" t="s">
        <v>2977</v>
      </c>
      <c r="F405" t="s">
        <v>641</v>
      </c>
    </row>
    <row r="406" spans="1:6" x14ac:dyDescent="0.15">
      <c r="A406" t="s">
        <v>3731</v>
      </c>
      <c r="C406" t="s">
        <v>2978</v>
      </c>
      <c r="F406" t="s">
        <v>642</v>
      </c>
    </row>
    <row r="407" spans="1:6" x14ac:dyDescent="0.15">
      <c r="A407" t="s">
        <v>3732</v>
      </c>
      <c r="C407" t="s">
        <v>2979</v>
      </c>
      <c r="F407" t="s">
        <v>643</v>
      </c>
    </row>
    <row r="408" spans="1:6" x14ac:dyDescent="0.15">
      <c r="A408" t="s">
        <v>3733</v>
      </c>
      <c r="C408" t="s">
        <v>2980</v>
      </c>
      <c r="F408" t="s">
        <v>644</v>
      </c>
    </row>
    <row r="409" spans="1:6" x14ac:dyDescent="0.15">
      <c r="A409" t="s">
        <v>3734</v>
      </c>
      <c r="C409" t="s">
        <v>2981</v>
      </c>
      <c r="F409" t="s">
        <v>645</v>
      </c>
    </row>
    <row r="410" spans="1:6" x14ac:dyDescent="0.15">
      <c r="A410" t="s">
        <v>3735</v>
      </c>
      <c r="C410" t="s">
        <v>2982</v>
      </c>
      <c r="F410" t="s">
        <v>646</v>
      </c>
    </row>
    <row r="411" spans="1:6" x14ac:dyDescent="0.15">
      <c r="A411" t="s">
        <v>3736</v>
      </c>
      <c r="C411" t="s">
        <v>2983</v>
      </c>
      <c r="F411" t="s">
        <v>647</v>
      </c>
    </row>
    <row r="412" spans="1:6" x14ac:dyDescent="0.15">
      <c r="A412" t="s">
        <v>6</v>
      </c>
      <c r="C412" t="s">
        <v>2984</v>
      </c>
      <c r="F412" t="s">
        <v>648</v>
      </c>
    </row>
    <row r="413" spans="1:6" x14ac:dyDescent="0.15">
      <c r="A413" t="s">
        <v>3737</v>
      </c>
      <c r="C413" t="s">
        <v>2985</v>
      </c>
      <c r="F413" t="s">
        <v>649</v>
      </c>
    </row>
    <row r="414" spans="1:6" x14ac:dyDescent="0.15">
      <c r="A414" t="s">
        <v>3738</v>
      </c>
      <c r="C414" t="s">
        <v>2986</v>
      </c>
      <c r="F414" t="s">
        <v>650</v>
      </c>
    </row>
    <row r="415" spans="1:6" x14ac:dyDescent="0.15">
      <c r="A415" t="s">
        <v>3739</v>
      </c>
      <c r="C415" t="s">
        <v>2987</v>
      </c>
      <c r="F415" t="s">
        <v>651</v>
      </c>
    </row>
    <row r="416" spans="1:6" x14ac:dyDescent="0.15">
      <c r="A416" t="s">
        <v>1816</v>
      </c>
      <c r="C416" t="s">
        <v>2988</v>
      </c>
      <c r="F416" t="s">
        <v>652</v>
      </c>
    </row>
    <row r="417" spans="1:6" x14ac:dyDescent="0.15">
      <c r="A417" t="s">
        <v>363</v>
      </c>
      <c r="C417" t="s">
        <v>2989</v>
      </c>
      <c r="F417" t="s">
        <v>653</v>
      </c>
    </row>
    <row r="418" spans="1:6" x14ac:dyDescent="0.15">
      <c r="A418" t="s">
        <v>3740</v>
      </c>
      <c r="C418" t="s">
        <v>2990</v>
      </c>
      <c r="F418" t="s">
        <v>654</v>
      </c>
    </row>
    <row r="419" spans="1:6" x14ac:dyDescent="0.15">
      <c r="A419" t="s">
        <v>3741</v>
      </c>
      <c r="C419" t="s">
        <v>2991</v>
      </c>
      <c r="F419" t="s">
        <v>655</v>
      </c>
    </row>
    <row r="420" spans="1:6" x14ac:dyDescent="0.15">
      <c r="A420" t="s">
        <v>3742</v>
      </c>
      <c r="C420" t="s">
        <v>2992</v>
      </c>
      <c r="F420" t="s">
        <v>656</v>
      </c>
    </row>
    <row r="421" spans="1:6" x14ac:dyDescent="0.15">
      <c r="A421" t="s">
        <v>3743</v>
      </c>
      <c r="C421" t="s">
        <v>2993</v>
      </c>
      <c r="F421" t="s">
        <v>657</v>
      </c>
    </row>
    <row r="422" spans="1:6" x14ac:dyDescent="0.15">
      <c r="A422" t="s">
        <v>3744</v>
      </c>
      <c r="C422" t="s">
        <v>2994</v>
      </c>
      <c r="F422" t="s">
        <v>658</v>
      </c>
    </row>
    <row r="423" spans="1:6" x14ac:dyDescent="0.15">
      <c r="A423" t="s">
        <v>3745</v>
      </c>
      <c r="C423" t="s">
        <v>1035</v>
      </c>
      <c r="F423" t="s">
        <v>659</v>
      </c>
    </row>
    <row r="424" spans="1:6" x14ac:dyDescent="0.15">
      <c r="A424" t="s">
        <v>3746</v>
      </c>
      <c r="C424" t="s">
        <v>2995</v>
      </c>
      <c r="F424" t="s">
        <v>660</v>
      </c>
    </row>
    <row r="425" spans="1:6" x14ac:dyDescent="0.15">
      <c r="A425" t="s">
        <v>3747</v>
      </c>
      <c r="C425" t="s">
        <v>2996</v>
      </c>
      <c r="F425" t="s">
        <v>661</v>
      </c>
    </row>
    <row r="426" spans="1:6" x14ac:dyDescent="0.15">
      <c r="A426" t="s">
        <v>3748</v>
      </c>
      <c r="C426" t="s">
        <v>2997</v>
      </c>
      <c r="F426" t="s">
        <v>662</v>
      </c>
    </row>
    <row r="427" spans="1:6" x14ac:dyDescent="0.15">
      <c r="A427" t="s">
        <v>2431</v>
      </c>
      <c r="C427" t="s">
        <v>2998</v>
      </c>
      <c r="F427" t="s">
        <v>663</v>
      </c>
    </row>
    <row r="428" spans="1:6" x14ac:dyDescent="0.15">
      <c r="A428" t="s">
        <v>3749</v>
      </c>
      <c r="C428" t="s">
        <v>2999</v>
      </c>
      <c r="F428" t="s">
        <v>664</v>
      </c>
    </row>
    <row r="429" spans="1:6" x14ac:dyDescent="0.15">
      <c r="A429" t="s">
        <v>3750</v>
      </c>
      <c r="C429" t="s">
        <v>3000</v>
      </c>
      <c r="F429" t="s">
        <v>173</v>
      </c>
    </row>
    <row r="430" spans="1:6" x14ac:dyDescent="0.15">
      <c r="A430" t="s">
        <v>166</v>
      </c>
      <c r="C430" t="s">
        <v>3001</v>
      </c>
      <c r="F430" t="s">
        <v>665</v>
      </c>
    </row>
    <row r="431" spans="1:6" x14ac:dyDescent="0.15">
      <c r="A431" t="s">
        <v>3751</v>
      </c>
      <c r="C431" t="s">
        <v>3002</v>
      </c>
      <c r="F431" t="s">
        <v>666</v>
      </c>
    </row>
    <row r="432" spans="1:6" x14ac:dyDescent="0.15">
      <c r="A432" t="s">
        <v>3752</v>
      </c>
      <c r="C432" t="s">
        <v>3003</v>
      </c>
      <c r="F432" t="s">
        <v>667</v>
      </c>
    </row>
    <row r="433" spans="1:6" x14ac:dyDescent="0.15">
      <c r="A433" t="s">
        <v>202</v>
      </c>
      <c r="C433" t="s">
        <v>3004</v>
      </c>
      <c r="F433" t="s">
        <v>668</v>
      </c>
    </row>
    <row r="434" spans="1:6" x14ac:dyDescent="0.15">
      <c r="A434" t="s">
        <v>3753</v>
      </c>
      <c r="C434" t="s">
        <v>3005</v>
      </c>
      <c r="F434" t="s">
        <v>669</v>
      </c>
    </row>
    <row r="435" spans="1:6" x14ac:dyDescent="0.15">
      <c r="A435" t="s">
        <v>3754</v>
      </c>
      <c r="C435" t="s">
        <v>3006</v>
      </c>
      <c r="F435" t="s">
        <v>670</v>
      </c>
    </row>
    <row r="436" spans="1:6" x14ac:dyDescent="0.15">
      <c r="A436" t="s">
        <v>3755</v>
      </c>
      <c r="C436" t="s">
        <v>3007</v>
      </c>
      <c r="F436" t="s">
        <v>671</v>
      </c>
    </row>
    <row r="437" spans="1:6" x14ac:dyDescent="0.15">
      <c r="A437" t="s">
        <v>1734</v>
      </c>
      <c r="C437" t="s">
        <v>3008</v>
      </c>
      <c r="F437" t="s">
        <v>672</v>
      </c>
    </row>
    <row r="438" spans="1:6" x14ac:dyDescent="0.15">
      <c r="A438" t="s">
        <v>3756</v>
      </c>
      <c r="C438" t="s">
        <v>3009</v>
      </c>
      <c r="F438" t="s">
        <v>673</v>
      </c>
    </row>
    <row r="439" spans="1:6" x14ac:dyDescent="0.15">
      <c r="A439" t="s">
        <v>3757</v>
      </c>
      <c r="C439" t="s">
        <v>3010</v>
      </c>
      <c r="F439" t="s">
        <v>674</v>
      </c>
    </row>
    <row r="440" spans="1:6" x14ac:dyDescent="0.15">
      <c r="A440" t="s">
        <v>3758</v>
      </c>
      <c r="C440" t="s">
        <v>3011</v>
      </c>
      <c r="F440" t="s">
        <v>675</v>
      </c>
    </row>
    <row r="441" spans="1:6" x14ac:dyDescent="0.15">
      <c r="A441" t="s">
        <v>3759</v>
      </c>
      <c r="C441" t="s">
        <v>3012</v>
      </c>
      <c r="F441" t="s">
        <v>676</v>
      </c>
    </row>
    <row r="442" spans="1:6" x14ac:dyDescent="0.15">
      <c r="A442" t="s">
        <v>3760</v>
      </c>
      <c r="C442" t="s">
        <v>3013</v>
      </c>
      <c r="F442" t="s">
        <v>677</v>
      </c>
    </row>
    <row r="443" spans="1:6" x14ac:dyDescent="0.15">
      <c r="A443" t="s">
        <v>3761</v>
      </c>
      <c r="C443" t="s">
        <v>3014</v>
      </c>
      <c r="F443" t="s">
        <v>678</v>
      </c>
    </row>
    <row r="444" spans="1:6" x14ac:dyDescent="0.15">
      <c r="A444" t="s">
        <v>3762</v>
      </c>
      <c r="C444" t="s">
        <v>3015</v>
      </c>
      <c r="F444" t="s">
        <v>679</v>
      </c>
    </row>
    <row r="445" spans="1:6" x14ac:dyDescent="0.15">
      <c r="A445" t="s">
        <v>3763</v>
      </c>
      <c r="C445" t="s">
        <v>3016</v>
      </c>
      <c r="F445" t="s">
        <v>680</v>
      </c>
    </row>
    <row r="446" spans="1:6" x14ac:dyDescent="0.15">
      <c r="A446" t="s">
        <v>140</v>
      </c>
      <c r="C446" t="s">
        <v>3017</v>
      </c>
      <c r="F446" t="s">
        <v>681</v>
      </c>
    </row>
    <row r="447" spans="1:6" x14ac:dyDescent="0.15">
      <c r="A447" t="s">
        <v>3764</v>
      </c>
      <c r="C447" t="s">
        <v>3018</v>
      </c>
      <c r="F447" t="s">
        <v>682</v>
      </c>
    </row>
    <row r="448" spans="1:6" x14ac:dyDescent="0.15">
      <c r="A448" t="s">
        <v>3765</v>
      </c>
      <c r="C448" t="s">
        <v>3019</v>
      </c>
      <c r="F448" t="s">
        <v>683</v>
      </c>
    </row>
    <row r="449" spans="1:6" x14ac:dyDescent="0.15">
      <c r="A449" t="s">
        <v>1769</v>
      </c>
      <c r="C449" t="s">
        <v>3020</v>
      </c>
      <c r="F449" t="s">
        <v>684</v>
      </c>
    </row>
    <row r="450" spans="1:6" x14ac:dyDescent="0.15">
      <c r="A450" t="s">
        <v>3766</v>
      </c>
      <c r="C450" t="s">
        <v>3021</v>
      </c>
      <c r="F450" t="s">
        <v>685</v>
      </c>
    </row>
    <row r="451" spans="1:6" x14ac:dyDescent="0.15">
      <c r="A451" t="s">
        <v>2568</v>
      </c>
      <c r="C451" t="s">
        <v>3022</v>
      </c>
      <c r="F451" t="s">
        <v>686</v>
      </c>
    </row>
    <row r="452" spans="1:6" x14ac:dyDescent="0.15">
      <c r="A452" t="s">
        <v>3767</v>
      </c>
      <c r="C452" t="s">
        <v>3023</v>
      </c>
      <c r="F452" t="s">
        <v>687</v>
      </c>
    </row>
    <row r="453" spans="1:6" x14ac:dyDescent="0.15">
      <c r="A453" t="s">
        <v>3768</v>
      </c>
      <c r="C453" t="s">
        <v>3024</v>
      </c>
      <c r="F453" t="s">
        <v>688</v>
      </c>
    </row>
    <row r="454" spans="1:6" x14ac:dyDescent="0.15">
      <c r="A454" t="s">
        <v>3769</v>
      </c>
      <c r="C454" t="s">
        <v>3025</v>
      </c>
      <c r="F454" t="s">
        <v>689</v>
      </c>
    </row>
    <row r="455" spans="1:6" x14ac:dyDescent="0.15">
      <c r="A455" t="s">
        <v>3770</v>
      </c>
      <c r="C455" t="s">
        <v>3026</v>
      </c>
      <c r="F455" t="s">
        <v>690</v>
      </c>
    </row>
    <row r="456" spans="1:6" x14ac:dyDescent="0.15">
      <c r="A456" t="s">
        <v>3771</v>
      </c>
      <c r="C456" t="s">
        <v>3027</v>
      </c>
      <c r="F456" t="s">
        <v>691</v>
      </c>
    </row>
    <row r="457" spans="1:6" x14ac:dyDescent="0.15">
      <c r="A457" t="s">
        <v>3772</v>
      </c>
      <c r="C457" t="s">
        <v>3028</v>
      </c>
      <c r="F457" t="s">
        <v>692</v>
      </c>
    </row>
    <row r="458" spans="1:6" x14ac:dyDescent="0.15">
      <c r="A458" t="s">
        <v>223</v>
      </c>
      <c r="C458" t="s">
        <v>3029</v>
      </c>
      <c r="F458" t="s">
        <v>693</v>
      </c>
    </row>
    <row r="459" spans="1:6" x14ac:dyDescent="0.15">
      <c r="A459" t="s">
        <v>1119</v>
      </c>
      <c r="C459" t="s">
        <v>3030</v>
      </c>
      <c r="F459" t="s">
        <v>694</v>
      </c>
    </row>
    <row r="460" spans="1:6" x14ac:dyDescent="0.15">
      <c r="A460" t="s">
        <v>3773</v>
      </c>
      <c r="C460" t="s">
        <v>3031</v>
      </c>
      <c r="F460" t="s">
        <v>695</v>
      </c>
    </row>
    <row r="461" spans="1:6" x14ac:dyDescent="0.15">
      <c r="A461" t="s">
        <v>2541</v>
      </c>
      <c r="C461" t="s">
        <v>3032</v>
      </c>
      <c r="F461" t="s">
        <v>696</v>
      </c>
    </row>
    <row r="462" spans="1:6" x14ac:dyDescent="0.15">
      <c r="A462" t="s">
        <v>3774</v>
      </c>
      <c r="C462" t="s">
        <v>3033</v>
      </c>
      <c r="F462" t="s">
        <v>697</v>
      </c>
    </row>
    <row r="463" spans="1:6" x14ac:dyDescent="0.15">
      <c r="A463" t="s">
        <v>3775</v>
      </c>
      <c r="C463" t="s">
        <v>3034</v>
      </c>
      <c r="F463" t="s">
        <v>698</v>
      </c>
    </row>
    <row r="464" spans="1:6" x14ac:dyDescent="0.15">
      <c r="A464" t="s">
        <v>3776</v>
      </c>
      <c r="C464" t="s">
        <v>3035</v>
      </c>
      <c r="F464" t="s">
        <v>699</v>
      </c>
    </row>
    <row r="465" spans="1:6" x14ac:dyDescent="0.15">
      <c r="A465" t="s">
        <v>3777</v>
      </c>
      <c r="C465" t="s">
        <v>3036</v>
      </c>
      <c r="F465" t="s">
        <v>700</v>
      </c>
    </row>
    <row r="466" spans="1:6" x14ac:dyDescent="0.15">
      <c r="A466" t="s">
        <v>3778</v>
      </c>
      <c r="C466" t="s">
        <v>3037</v>
      </c>
      <c r="F466" t="s">
        <v>701</v>
      </c>
    </row>
    <row r="467" spans="1:6" x14ac:dyDescent="0.15">
      <c r="A467" t="s">
        <v>3779</v>
      </c>
      <c r="C467" t="s">
        <v>3038</v>
      </c>
      <c r="F467" t="s">
        <v>702</v>
      </c>
    </row>
    <row r="468" spans="1:6" x14ac:dyDescent="0.15">
      <c r="A468" t="s">
        <v>116</v>
      </c>
      <c r="C468" t="s">
        <v>3039</v>
      </c>
      <c r="F468" t="s">
        <v>703</v>
      </c>
    </row>
    <row r="469" spans="1:6" x14ac:dyDescent="0.15">
      <c r="A469" t="s">
        <v>3780</v>
      </c>
      <c r="C469" t="s">
        <v>3040</v>
      </c>
      <c r="F469" t="s">
        <v>704</v>
      </c>
    </row>
    <row r="470" spans="1:6" x14ac:dyDescent="0.15">
      <c r="A470" t="s">
        <v>3781</v>
      </c>
      <c r="C470" t="s">
        <v>3041</v>
      </c>
      <c r="F470" t="s">
        <v>705</v>
      </c>
    </row>
    <row r="471" spans="1:6" x14ac:dyDescent="0.15">
      <c r="A471" t="s">
        <v>3782</v>
      </c>
      <c r="C471" t="s">
        <v>3042</v>
      </c>
      <c r="F471" t="s">
        <v>706</v>
      </c>
    </row>
    <row r="472" spans="1:6" x14ac:dyDescent="0.15">
      <c r="A472" t="s">
        <v>3783</v>
      </c>
      <c r="C472" t="s">
        <v>1604</v>
      </c>
      <c r="F472" t="s">
        <v>707</v>
      </c>
    </row>
    <row r="473" spans="1:6" x14ac:dyDescent="0.15">
      <c r="A473" t="s">
        <v>78</v>
      </c>
      <c r="C473" t="s">
        <v>3043</v>
      </c>
      <c r="F473" t="s">
        <v>708</v>
      </c>
    </row>
    <row r="474" spans="1:6" x14ac:dyDescent="0.15">
      <c r="A474" t="s">
        <v>1339</v>
      </c>
      <c r="C474" t="s">
        <v>3044</v>
      </c>
      <c r="F474" t="s">
        <v>709</v>
      </c>
    </row>
    <row r="475" spans="1:6" x14ac:dyDescent="0.15">
      <c r="A475" t="s">
        <v>3784</v>
      </c>
      <c r="C475" t="s">
        <v>3045</v>
      </c>
      <c r="F475" t="s">
        <v>710</v>
      </c>
    </row>
    <row r="476" spans="1:6" x14ac:dyDescent="0.15">
      <c r="A476" t="s">
        <v>3785</v>
      </c>
      <c r="C476" t="s">
        <v>3046</v>
      </c>
      <c r="F476" t="s">
        <v>711</v>
      </c>
    </row>
    <row r="477" spans="1:6" x14ac:dyDescent="0.15">
      <c r="A477" t="s">
        <v>1619</v>
      </c>
      <c r="C477" t="s">
        <v>3047</v>
      </c>
      <c r="F477" t="s">
        <v>712</v>
      </c>
    </row>
    <row r="478" spans="1:6" x14ac:dyDescent="0.15">
      <c r="A478" t="s">
        <v>3786</v>
      </c>
      <c r="C478" t="s">
        <v>3048</v>
      </c>
      <c r="F478" t="s">
        <v>713</v>
      </c>
    </row>
    <row r="479" spans="1:6" x14ac:dyDescent="0.15">
      <c r="A479" t="s">
        <v>3787</v>
      </c>
      <c r="C479" t="s">
        <v>3049</v>
      </c>
      <c r="F479" t="s">
        <v>714</v>
      </c>
    </row>
    <row r="480" spans="1:6" x14ac:dyDescent="0.15">
      <c r="A480" t="s">
        <v>3788</v>
      </c>
      <c r="C480" t="s">
        <v>3050</v>
      </c>
      <c r="F480" t="s">
        <v>715</v>
      </c>
    </row>
    <row r="481" spans="1:6" x14ac:dyDescent="0.15">
      <c r="A481" t="s">
        <v>3789</v>
      </c>
      <c r="C481" t="s">
        <v>3051</v>
      </c>
      <c r="F481" t="s">
        <v>716</v>
      </c>
    </row>
    <row r="482" spans="1:6" x14ac:dyDescent="0.15">
      <c r="A482" t="s">
        <v>3790</v>
      </c>
      <c r="C482" t="s">
        <v>3052</v>
      </c>
      <c r="F482" t="s">
        <v>717</v>
      </c>
    </row>
    <row r="483" spans="1:6" x14ac:dyDescent="0.15">
      <c r="A483" t="s">
        <v>3791</v>
      </c>
      <c r="C483" t="s">
        <v>3053</v>
      </c>
      <c r="F483" t="s">
        <v>718</v>
      </c>
    </row>
    <row r="484" spans="1:6" x14ac:dyDescent="0.15">
      <c r="A484" t="s">
        <v>3792</v>
      </c>
      <c r="C484" t="s">
        <v>3054</v>
      </c>
      <c r="F484" t="s">
        <v>719</v>
      </c>
    </row>
    <row r="485" spans="1:6" x14ac:dyDescent="0.15">
      <c r="A485" t="s">
        <v>1439</v>
      </c>
      <c r="C485" t="s">
        <v>3055</v>
      </c>
      <c r="F485" t="s">
        <v>720</v>
      </c>
    </row>
    <row r="486" spans="1:6" x14ac:dyDescent="0.15">
      <c r="A486" t="s">
        <v>217</v>
      </c>
      <c r="C486" t="s">
        <v>3056</v>
      </c>
      <c r="F486" t="s">
        <v>721</v>
      </c>
    </row>
    <row r="487" spans="1:6" x14ac:dyDescent="0.15">
      <c r="A487" t="s">
        <v>3793</v>
      </c>
      <c r="C487" t="s">
        <v>3057</v>
      </c>
      <c r="F487" t="s">
        <v>722</v>
      </c>
    </row>
    <row r="488" spans="1:6" x14ac:dyDescent="0.15">
      <c r="A488" t="s">
        <v>3794</v>
      </c>
      <c r="C488" t="s">
        <v>961</v>
      </c>
      <c r="F488" t="s">
        <v>723</v>
      </c>
    </row>
    <row r="489" spans="1:6" x14ac:dyDescent="0.15">
      <c r="A489" t="s">
        <v>3795</v>
      </c>
      <c r="C489" t="s">
        <v>3058</v>
      </c>
      <c r="F489" t="s">
        <v>724</v>
      </c>
    </row>
    <row r="490" spans="1:6" x14ac:dyDescent="0.15">
      <c r="A490" t="s">
        <v>3796</v>
      </c>
      <c r="C490" t="s">
        <v>3059</v>
      </c>
      <c r="F490" t="s">
        <v>725</v>
      </c>
    </row>
    <row r="491" spans="1:6" x14ac:dyDescent="0.15">
      <c r="A491" t="s">
        <v>3797</v>
      </c>
      <c r="C491" t="s">
        <v>3060</v>
      </c>
      <c r="F491" t="s">
        <v>726</v>
      </c>
    </row>
    <row r="492" spans="1:6" x14ac:dyDescent="0.15">
      <c r="A492" t="s">
        <v>3798</v>
      </c>
      <c r="C492" t="s">
        <v>3061</v>
      </c>
      <c r="F492" t="s">
        <v>727</v>
      </c>
    </row>
    <row r="493" spans="1:6" x14ac:dyDescent="0.15">
      <c r="A493" t="s">
        <v>3799</v>
      </c>
      <c r="C493" t="s">
        <v>3062</v>
      </c>
      <c r="F493" t="s">
        <v>728</v>
      </c>
    </row>
    <row r="494" spans="1:6" x14ac:dyDescent="0.15">
      <c r="A494" t="s">
        <v>3800</v>
      </c>
      <c r="C494" t="s">
        <v>3063</v>
      </c>
      <c r="F494" t="s">
        <v>729</v>
      </c>
    </row>
    <row r="495" spans="1:6" x14ac:dyDescent="0.15">
      <c r="A495" t="s">
        <v>3801</v>
      </c>
      <c r="C495" t="s">
        <v>982</v>
      </c>
      <c r="F495" t="s">
        <v>730</v>
      </c>
    </row>
    <row r="496" spans="1:6" x14ac:dyDescent="0.15">
      <c r="A496" t="s">
        <v>3802</v>
      </c>
      <c r="C496" t="s">
        <v>3064</v>
      </c>
      <c r="F496" t="s">
        <v>731</v>
      </c>
    </row>
    <row r="497" spans="1:6" x14ac:dyDescent="0.15">
      <c r="A497" t="s">
        <v>3803</v>
      </c>
      <c r="C497" t="s">
        <v>3065</v>
      </c>
      <c r="F497" t="s">
        <v>732</v>
      </c>
    </row>
    <row r="498" spans="1:6" x14ac:dyDescent="0.15">
      <c r="A498" t="s">
        <v>3804</v>
      </c>
      <c r="C498" t="s">
        <v>3066</v>
      </c>
      <c r="F498" t="s">
        <v>733</v>
      </c>
    </row>
    <row r="499" spans="1:6" x14ac:dyDescent="0.15">
      <c r="A499" t="s">
        <v>3805</v>
      </c>
      <c r="C499" t="s">
        <v>3067</v>
      </c>
      <c r="F499" t="s">
        <v>734</v>
      </c>
    </row>
    <row r="500" spans="1:6" x14ac:dyDescent="0.15">
      <c r="A500" t="s">
        <v>598</v>
      </c>
      <c r="C500" t="s">
        <v>3068</v>
      </c>
      <c r="F500" t="s">
        <v>735</v>
      </c>
    </row>
    <row r="501" spans="1:6" x14ac:dyDescent="0.15">
      <c r="A501" t="s">
        <v>3806</v>
      </c>
      <c r="C501" t="s">
        <v>3069</v>
      </c>
      <c r="F501" t="s">
        <v>736</v>
      </c>
    </row>
    <row r="502" spans="1:6" x14ac:dyDescent="0.15">
      <c r="A502" t="s">
        <v>3807</v>
      </c>
      <c r="C502" t="s">
        <v>3070</v>
      </c>
      <c r="F502" t="s">
        <v>737</v>
      </c>
    </row>
    <row r="503" spans="1:6" x14ac:dyDescent="0.15">
      <c r="A503" t="s">
        <v>3808</v>
      </c>
      <c r="C503" t="s">
        <v>3071</v>
      </c>
      <c r="F503" t="s">
        <v>738</v>
      </c>
    </row>
    <row r="504" spans="1:6" x14ac:dyDescent="0.15">
      <c r="A504" t="s">
        <v>3809</v>
      </c>
      <c r="C504" t="s">
        <v>3072</v>
      </c>
      <c r="F504" t="s">
        <v>200</v>
      </c>
    </row>
    <row r="505" spans="1:6" x14ac:dyDescent="0.15">
      <c r="A505" t="s">
        <v>2609</v>
      </c>
      <c r="C505" t="s">
        <v>3073</v>
      </c>
      <c r="F505" t="s">
        <v>739</v>
      </c>
    </row>
    <row r="506" spans="1:6" x14ac:dyDescent="0.15">
      <c r="A506" t="s">
        <v>3810</v>
      </c>
      <c r="C506" t="s">
        <v>3074</v>
      </c>
      <c r="F506" t="s">
        <v>740</v>
      </c>
    </row>
    <row r="507" spans="1:6" x14ac:dyDescent="0.15">
      <c r="A507" t="s">
        <v>229</v>
      </c>
      <c r="C507" t="s">
        <v>3075</v>
      </c>
      <c r="F507" t="s">
        <v>741</v>
      </c>
    </row>
    <row r="508" spans="1:6" x14ac:dyDescent="0.15">
      <c r="A508" t="s">
        <v>41</v>
      </c>
      <c r="C508" t="s">
        <v>3076</v>
      </c>
      <c r="F508" t="s">
        <v>742</v>
      </c>
    </row>
    <row r="509" spans="1:6" x14ac:dyDescent="0.15">
      <c r="A509" t="s">
        <v>3811</v>
      </c>
      <c r="C509" t="s">
        <v>3077</v>
      </c>
      <c r="F509" t="s">
        <v>743</v>
      </c>
    </row>
    <row r="510" spans="1:6" x14ac:dyDescent="0.15">
      <c r="A510" t="s">
        <v>3812</v>
      </c>
      <c r="C510" t="s">
        <v>3078</v>
      </c>
      <c r="F510" t="s">
        <v>744</v>
      </c>
    </row>
    <row r="511" spans="1:6" x14ac:dyDescent="0.15">
      <c r="A511" t="s">
        <v>1774</v>
      </c>
      <c r="C511" t="s">
        <v>3079</v>
      </c>
      <c r="F511" t="s">
        <v>745</v>
      </c>
    </row>
    <row r="512" spans="1:6" x14ac:dyDescent="0.15">
      <c r="A512" t="s">
        <v>3813</v>
      </c>
      <c r="C512" t="s">
        <v>3080</v>
      </c>
      <c r="F512" t="s">
        <v>746</v>
      </c>
    </row>
    <row r="513" spans="1:6" x14ac:dyDescent="0.15">
      <c r="A513" t="s">
        <v>3814</v>
      </c>
      <c r="C513" t="s">
        <v>3081</v>
      </c>
      <c r="F513" t="s">
        <v>747</v>
      </c>
    </row>
    <row r="514" spans="1:6" x14ac:dyDescent="0.15">
      <c r="A514" t="s">
        <v>3815</v>
      </c>
      <c r="C514" t="s">
        <v>3082</v>
      </c>
      <c r="F514" t="s">
        <v>748</v>
      </c>
    </row>
    <row r="515" spans="1:6" x14ac:dyDescent="0.15">
      <c r="A515" t="s">
        <v>2474</v>
      </c>
      <c r="C515" t="s">
        <v>3083</v>
      </c>
      <c r="F515" t="s">
        <v>749</v>
      </c>
    </row>
    <row r="516" spans="1:6" x14ac:dyDescent="0.15">
      <c r="A516" t="s">
        <v>3816</v>
      </c>
      <c r="C516" t="s">
        <v>3084</v>
      </c>
      <c r="F516" t="s">
        <v>750</v>
      </c>
    </row>
    <row r="517" spans="1:6" x14ac:dyDescent="0.15">
      <c r="A517" t="s">
        <v>1312</v>
      </c>
      <c r="C517" t="s">
        <v>3085</v>
      </c>
      <c r="F517" t="s">
        <v>751</v>
      </c>
    </row>
    <row r="518" spans="1:6" x14ac:dyDescent="0.15">
      <c r="A518" t="s">
        <v>3817</v>
      </c>
      <c r="C518" t="s">
        <v>226</v>
      </c>
      <c r="F518" t="s">
        <v>752</v>
      </c>
    </row>
    <row r="519" spans="1:6" x14ac:dyDescent="0.15">
      <c r="A519" t="s">
        <v>3818</v>
      </c>
      <c r="C519" t="s">
        <v>3086</v>
      </c>
      <c r="F519" t="s">
        <v>753</v>
      </c>
    </row>
    <row r="520" spans="1:6" x14ac:dyDescent="0.15">
      <c r="A520" t="s">
        <v>2830</v>
      </c>
      <c r="C520" t="s">
        <v>3087</v>
      </c>
      <c r="F520" t="s">
        <v>754</v>
      </c>
    </row>
    <row r="521" spans="1:6" x14ac:dyDescent="0.15">
      <c r="A521" t="s">
        <v>3819</v>
      </c>
      <c r="C521" t="s">
        <v>3088</v>
      </c>
      <c r="F521" t="s">
        <v>755</v>
      </c>
    </row>
    <row r="522" spans="1:6" x14ac:dyDescent="0.15">
      <c r="A522" t="s">
        <v>3820</v>
      </c>
      <c r="C522" t="s">
        <v>3089</v>
      </c>
      <c r="F522" t="s">
        <v>756</v>
      </c>
    </row>
    <row r="523" spans="1:6" x14ac:dyDescent="0.15">
      <c r="A523" t="s">
        <v>3821</v>
      </c>
      <c r="C523" t="s">
        <v>3090</v>
      </c>
      <c r="F523" t="s">
        <v>757</v>
      </c>
    </row>
    <row r="524" spans="1:6" x14ac:dyDescent="0.15">
      <c r="A524" t="s">
        <v>3822</v>
      </c>
      <c r="C524" t="s">
        <v>3091</v>
      </c>
      <c r="F524" t="s">
        <v>758</v>
      </c>
    </row>
    <row r="525" spans="1:6" x14ac:dyDescent="0.15">
      <c r="A525" t="s">
        <v>3823</v>
      </c>
      <c r="C525" t="s">
        <v>3092</v>
      </c>
      <c r="F525" t="s">
        <v>759</v>
      </c>
    </row>
    <row r="526" spans="1:6" x14ac:dyDescent="0.15">
      <c r="A526" t="s">
        <v>1139</v>
      </c>
      <c r="C526" t="s">
        <v>3093</v>
      </c>
      <c r="F526" t="s">
        <v>760</v>
      </c>
    </row>
    <row r="527" spans="1:6" x14ac:dyDescent="0.15">
      <c r="A527" t="s">
        <v>2521</v>
      </c>
      <c r="C527" t="s">
        <v>3094</v>
      </c>
      <c r="F527" t="s">
        <v>761</v>
      </c>
    </row>
    <row r="528" spans="1:6" x14ac:dyDescent="0.15">
      <c r="A528" t="s">
        <v>3824</v>
      </c>
      <c r="C528" t="s">
        <v>3095</v>
      </c>
      <c r="F528" t="s">
        <v>762</v>
      </c>
    </row>
    <row r="529" spans="1:6" x14ac:dyDescent="0.15">
      <c r="A529" t="s">
        <v>3825</v>
      </c>
      <c r="C529" t="s">
        <v>3096</v>
      </c>
      <c r="F529" t="s">
        <v>208</v>
      </c>
    </row>
    <row r="530" spans="1:6" x14ac:dyDescent="0.15">
      <c r="A530" t="s">
        <v>287</v>
      </c>
      <c r="C530" t="s">
        <v>3097</v>
      </c>
      <c r="F530" t="s">
        <v>763</v>
      </c>
    </row>
    <row r="531" spans="1:6" x14ac:dyDescent="0.15">
      <c r="A531" t="s">
        <v>132</v>
      </c>
      <c r="C531" t="s">
        <v>3098</v>
      </c>
      <c r="F531" t="s">
        <v>764</v>
      </c>
    </row>
    <row r="532" spans="1:6" x14ac:dyDescent="0.15">
      <c r="A532" t="s">
        <v>77</v>
      </c>
      <c r="C532" t="s">
        <v>3099</v>
      </c>
      <c r="F532" t="s">
        <v>765</v>
      </c>
    </row>
    <row r="533" spans="1:6" x14ac:dyDescent="0.15">
      <c r="A533" t="s">
        <v>3826</v>
      </c>
      <c r="C533" t="s">
        <v>3100</v>
      </c>
      <c r="F533" t="s">
        <v>766</v>
      </c>
    </row>
    <row r="534" spans="1:6" x14ac:dyDescent="0.15">
      <c r="A534" t="s">
        <v>101</v>
      </c>
      <c r="C534" t="s">
        <v>3101</v>
      </c>
      <c r="F534" t="s">
        <v>767</v>
      </c>
    </row>
    <row r="535" spans="1:6" x14ac:dyDescent="0.15">
      <c r="A535" t="s">
        <v>3827</v>
      </c>
      <c r="C535" t="s">
        <v>3102</v>
      </c>
      <c r="F535" t="s">
        <v>768</v>
      </c>
    </row>
    <row r="536" spans="1:6" x14ac:dyDescent="0.15">
      <c r="A536" t="s">
        <v>2352</v>
      </c>
      <c r="C536" t="s">
        <v>3103</v>
      </c>
      <c r="F536" t="s">
        <v>769</v>
      </c>
    </row>
    <row r="537" spans="1:6" x14ac:dyDescent="0.15">
      <c r="A537" t="s">
        <v>36</v>
      </c>
      <c r="C537" t="s">
        <v>3104</v>
      </c>
      <c r="F537" t="s">
        <v>770</v>
      </c>
    </row>
    <row r="538" spans="1:6" x14ac:dyDescent="0.15">
      <c r="A538" t="s">
        <v>1187</v>
      </c>
      <c r="C538" t="s">
        <v>3105</v>
      </c>
      <c r="F538" t="s">
        <v>771</v>
      </c>
    </row>
    <row r="539" spans="1:6" x14ac:dyDescent="0.15">
      <c r="A539" t="s">
        <v>3828</v>
      </c>
      <c r="C539" t="s">
        <v>3106</v>
      </c>
      <c r="F539" t="s">
        <v>772</v>
      </c>
    </row>
    <row r="540" spans="1:6" x14ac:dyDescent="0.15">
      <c r="A540" t="s">
        <v>3829</v>
      </c>
      <c r="C540" t="s">
        <v>3107</v>
      </c>
      <c r="F540" t="s">
        <v>773</v>
      </c>
    </row>
    <row r="541" spans="1:6" x14ac:dyDescent="0.15">
      <c r="A541" t="s">
        <v>574</v>
      </c>
      <c r="C541" t="s">
        <v>3108</v>
      </c>
      <c r="F541" t="s">
        <v>774</v>
      </c>
    </row>
    <row r="542" spans="1:6" x14ac:dyDescent="0.15">
      <c r="A542" t="s">
        <v>3830</v>
      </c>
      <c r="C542" t="s">
        <v>3109</v>
      </c>
      <c r="F542" t="s">
        <v>775</v>
      </c>
    </row>
    <row r="543" spans="1:6" x14ac:dyDescent="0.15">
      <c r="A543" t="s">
        <v>3831</v>
      </c>
      <c r="C543" t="s">
        <v>3110</v>
      </c>
      <c r="F543" t="s">
        <v>776</v>
      </c>
    </row>
    <row r="544" spans="1:6" x14ac:dyDescent="0.15">
      <c r="A544" t="s">
        <v>3832</v>
      </c>
      <c r="C544" t="s">
        <v>3111</v>
      </c>
      <c r="F544" t="s">
        <v>777</v>
      </c>
    </row>
    <row r="545" spans="1:6" x14ac:dyDescent="0.15">
      <c r="A545" t="s">
        <v>96</v>
      </c>
      <c r="C545" t="s">
        <v>3112</v>
      </c>
      <c r="F545" t="s">
        <v>778</v>
      </c>
    </row>
    <row r="546" spans="1:6" x14ac:dyDescent="0.15">
      <c r="A546" t="s">
        <v>269</v>
      </c>
      <c r="C546" t="s">
        <v>3113</v>
      </c>
      <c r="F546" t="s">
        <v>779</v>
      </c>
    </row>
    <row r="547" spans="1:6" x14ac:dyDescent="0.15">
      <c r="A547" t="s">
        <v>3833</v>
      </c>
      <c r="C547" t="s">
        <v>3114</v>
      </c>
      <c r="F547" t="s">
        <v>780</v>
      </c>
    </row>
    <row r="548" spans="1:6" x14ac:dyDescent="0.15">
      <c r="A548" t="s">
        <v>3834</v>
      </c>
      <c r="C548" t="s">
        <v>3115</v>
      </c>
      <c r="F548" t="s">
        <v>781</v>
      </c>
    </row>
    <row r="549" spans="1:6" x14ac:dyDescent="0.15">
      <c r="A549" t="s">
        <v>3835</v>
      </c>
      <c r="C549" t="s">
        <v>1009</v>
      </c>
      <c r="F549" t="s">
        <v>782</v>
      </c>
    </row>
    <row r="550" spans="1:6" x14ac:dyDescent="0.15">
      <c r="A550" t="s">
        <v>172</v>
      </c>
      <c r="C550" t="s">
        <v>3116</v>
      </c>
      <c r="F550" t="s">
        <v>783</v>
      </c>
    </row>
    <row r="551" spans="1:6" x14ac:dyDescent="0.15">
      <c r="A551" t="s">
        <v>3836</v>
      </c>
      <c r="C551" t="s">
        <v>3117</v>
      </c>
      <c r="F551" t="s">
        <v>784</v>
      </c>
    </row>
    <row r="552" spans="1:6" x14ac:dyDescent="0.15">
      <c r="A552" t="s">
        <v>1318</v>
      </c>
      <c r="C552" t="s">
        <v>3118</v>
      </c>
      <c r="F552" t="s">
        <v>785</v>
      </c>
    </row>
    <row r="553" spans="1:6" x14ac:dyDescent="0.15">
      <c r="A553" t="s">
        <v>3837</v>
      </c>
      <c r="C553" t="s">
        <v>3119</v>
      </c>
      <c r="F553" t="s">
        <v>786</v>
      </c>
    </row>
    <row r="554" spans="1:6" x14ac:dyDescent="0.15">
      <c r="A554" t="s">
        <v>1805</v>
      </c>
      <c r="C554" t="s">
        <v>3120</v>
      </c>
      <c r="F554" t="s">
        <v>787</v>
      </c>
    </row>
    <row r="555" spans="1:6" x14ac:dyDescent="0.15">
      <c r="A555" t="s">
        <v>196</v>
      </c>
      <c r="C555" t="s">
        <v>3121</v>
      </c>
      <c r="F555" t="s">
        <v>788</v>
      </c>
    </row>
    <row r="556" spans="1:6" x14ac:dyDescent="0.15">
      <c r="A556" t="s">
        <v>147</v>
      </c>
      <c r="C556" t="s">
        <v>3122</v>
      </c>
      <c r="F556" t="s">
        <v>789</v>
      </c>
    </row>
    <row r="557" spans="1:6" x14ac:dyDescent="0.15">
      <c r="A557" t="s">
        <v>1941</v>
      </c>
      <c r="C557" t="s">
        <v>697</v>
      </c>
      <c r="F557" t="s">
        <v>790</v>
      </c>
    </row>
    <row r="558" spans="1:6" x14ac:dyDescent="0.15">
      <c r="A558" t="s">
        <v>3838</v>
      </c>
      <c r="C558" t="s">
        <v>3123</v>
      </c>
      <c r="F558" t="s">
        <v>791</v>
      </c>
    </row>
    <row r="559" spans="1:6" x14ac:dyDescent="0.15">
      <c r="A559" t="s">
        <v>3839</v>
      </c>
      <c r="C559" t="s">
        <v>3124</v>
      </c>
      <c r="F559" t="s">
        <v>792</v>
      </c>
    </row>
    <row r="560" spans="1:6" x14ac:dyDescent="0.15">
      <c r="A560" t="s">
        <v>3840</v>
      </c>
      <c r="C560" t="s">
        <v>3125</v>
      </c>
      <c r="F560" t="s">
        <v>793</v>
      </c>
    </row>
    <row r="561" spans="1:6" x14ac:dyDescent="0.15">
      <c r="A561" t="s">
        <v>1376</v>
      </c>
      <c r="C561" t="s">
        <v>3126</v>
      </c>
      <c r="F561" t="s">
        <v>794</v>
      </c>
    </row>
    <row r="562" spans="1:6" x14ac:dyDescent="0.15">
      <c r="A562" t="s">
        <v>120</v>
      </c>
      <c r="C562" t="s">
        <v>3127</v>
      </c>
      <c r="F562" t="s">
        <v>795</v>
      </c>
    </row>
    <row r="563" spans="1:6" x14ac:dyDescent="0.15">
      <c r="A563" t="s">
        <v>3841</v>
      </c>
      <c r="C563" t="s">
        <v>3128</v>
      </c>
      <c r="F563" t="s">
        <v>796</v>
      </c>
    </row>
    <row r="564" spans="1:6" x14ac:dyDescent="0.15">
      <c r="A564" t="s">
        <v>3842</v>
      </c>
      <c r="C564" t="s">
        <v>3129</v>
      </c>
      <c r="F564" t="s">
        <v>797</v>
      </c>
    </row>
    <row r="565" spans="1:6" x14ac:dyDescent="0.15">
      <c r="A565" t="s">
        <v>1255</v>
      </c>
      <c r="C565" t="s">
        <v>3130</v>
      </c>
      <c r="F565" t="s">
        <v>798</v>
      </c>
    </row>
    <row r="566" spans="1:6" x14ac:dyDescent="0.15">
      <c r="A566" t="s">
        <v>3843</v>
      </c>
      <c r="C566" t="s">
        <v>3131</v>
      </c>
      <c r="F566" t="s">
        <v>799</v>
      </c>
    </row>
    <row r="567" spans="1:6" x14ac:dyDescent="0.15">
      <c r="A567" t="s">
        <v>2116</v>
      </c>
      <c r="C567" t="s">
        <v>3132</v>
      </c>
      <c r="F567" t="s">
        <v>800</v>
      </c>
    </row>
    <row r="568" spans="1:6" x14ac:dyDescent="0.15">
      <c r="A568" t="s">
        <v>3844</v>
      </c>
      <c r="C568" t="s">
        <v>3133</v>
      </c>
      <c r="F568" t="s">
        <v>801</v>
      </c>
    </row>
    <row r="569" spans="1:6" x14ac:dyDescent="0.15">
      <c r="A569" t="s">
        <v>3845</v>
      </c>
      <c r="C569" t="s">
        <v>3134</v>
      </c>
      <c r="F569" t="s">
        <v>802</v>
      </c>
    </row>
    <row r="570" spans="1:6" x14ac:dyDescent="0.15">
      <c r="A570" t="s">
        <v>89</v>
      </c>
      <c r="C570" t="s">
        <v>3135</v>
      </c>
      <c r="F570" t="s">
        <v>803</v>
      </c>
    </row>
    <row r="571" spans="1:6" x14ac:dyDescent="0.15">
      <c r="A571" t="s">
        <v>3846</v>
      </c>
      <c r="C571" t="s">
        <v>3136</v>
      </c>
      <c r="F571" t="s">
        <v>804</v>
      </c>
    </row>
    <row r="572" spans="1:6" x14ac:dyDescent="0.15">
      <c r="A572" t="s">
        <v>33</v>
      </c>
      <c r="C572" t="s">
        <v>3137</v>
      </c>
      <c r="F572" t="s">
        <v>805</v>
      </c>
    </row>
    <row r="573" spans="1:6" x14ac:dyDescent="0.15">
      <c r="A573" t="s">
        <v>3847</v>
      </c>
      <c r="C573" t="s">
        <v>3138</v>
      </c>
      <c r="F573" t="s">
        <v>806</v>
      </c>
    </row>
    <row r="574" spans="1:6" x14ac:dyDescent="0.15">
      <c r="A574" t="s">
        <v>3848</v>
      </c>
      <c r="C574" t="s">
        <v>3139</v>
      </c>
      <c r="F574" t="s">
        <v>807</v>
      </c>
    </row>
    <row r="575" spans="1:6" x14ac:dyDescent="0.15">
      <c r="A575" t="s">
        <v>3849</v>
      </c>
      <c r="C575" t="s">
        <v>3140</v>
      </c>
      <c r="F575" t="s">
        <v>808</v>
      </c>
    </row>
    <row r="576" spans="1:6" x14ac:dyDescent="0.15">
      <c r="A576" t="s">
        <v>3850</v>
      </c>
      <c r="C576" t="s">
        <v>3141</v>
      </c>
      <c r="F576" t="s">
        <v>809</v>
      </c>
    </row>
    <row r="577" spans="1:6" x14ac:dyDescent="0.15">
      <c r="A577" t="s">
        <v>3851</v>
      </c>
      <c r="C577" t="s">
        <v>3142</v>
      </c>
      <c r="F577" t="s">
        <v>810</v>
      </c>
    </row>
    <row r="578" spans="1:6" x14ac:dyDescent="0.15">
      <c r="A578" t="s">
        <v>1692</v>
      </c>
      <c r="C578" t="s">
        <v>868</v>
      </c>
      <c r="F578" t="s">
        <v>811</v>
      </c>
    </row>
    <row r="579" spans="1:6" x14ac:dyDescent="0.15">
      <c r="A579" t="s">
        <v>3852</v>
      </c>
      <c r="C579" t="s">
        <v>3143</v>
      </c>
      <c r="F579" t="s">
        <v>812</v>
      </c>
    </row>
    <row r="580" spans="1:6" x14ac:dyDescent="0.15">
      <c r="A580" t="s">
        <v>3853</v>
      </c>
      <c r="C580" t="s">
        <v>3144</v>
      </c>
      <c r="F580" t="s">
        <v>813</v>
      </c>
    </row>
    <row r="581" spans="1:6" x14ac:dyDescent="0.15">
      <c r="A581" t="s">
        <v>3854</v>
      </c>
      <c r="C581" t="s">
        <v>3145</v>
      </c>
      <c r="F581" t="s">
        <v>814</v>
      </c>
    </row>
    <row r="582" spans="1:6" x14ac:dyDescent="0.15">
      <c r="A582" t="s">
        <v>3855</v>
      </c>
      <c r="C582" t="s">
        <v>3146</v>
      </c>
      <c r="F582" t="s">
        <v>815</v>
      </c>
    </row>
    <row r="583" spans="1:6" x14ac:dyDescent="0.15">
      <c r="A583" t="s">
        <v>3856</v>
      </c>
      <c r="C583" t="s">
        <v>3147</v>
      </c>
      <c r="F583" t="s">
        <v>816</v>
      </c>
    </row>
    <row r="584" spans="1:6" x14ac:dyDescent="0.15">
      <c r="A584" t="s">
        <v>1511</v>
      </c>
      <c r="C584" t="s">
        <v>3148</v>
      </c>
      <c r="F584" t="s">
        <v>817</v>
      </c>
    </row>
    <row r="585" spans="1:6" x14ac:dyDescent="0.15">
      <c r="A585" t="s">
        <v>3857</v>
      </c>
      <c r="C585" t="s">
        <v>3149</v>
      </c>
      <c r="F585" t="s">
        <v>818</v>
      </c>
    </row>
    <row r="586" spans="1:6" x14ac:dyDescent="0.15">
      <c r="A586" t="s">
        <v>3858</v>
      </c>
      <c r="C586" t="s">
        <v>3150</v>
      </c>
      <c r="F586" t="s">
        <v>819</v>
      </c>
    </row>
    <row r="587" spans="1:6" x14ac:dyDescent="0.15">
      <c r="A587" t="s">
        <v>3859</v>
      </c>
      <c r="C587" t="s">
        <v>3151</v>
      </c>
      <c r="F587" t="s">
        <v>820</v>
      </c>
    </row>
    <row r="588" spans="1:6" x14ac:dyDescent="0.15">
      <c r="A588" t="s">
        <v>305</v>
      </c>
      <c r="C588" t="s">
        <v>3152</v>
      </c>
      <c r="F588" t="s">
        <v>821</v>
      </c>
    </row>
    <row r="589" spans="1:6" x14ac:dyDescent="0.15">
      <c r="A589" t="s">
        <v>3860</v>
      </c>
      <c r="C589" t="s">
        <v>3153</v>
      </c>
      <c r="F589" t="s">
        <v>822</v>
      </c>
    </row>
    <row r="590" spans="1:6" x14ac:dyDescent="0.15">
      <c r="A590" t="s">
        <v>3861</v>
      </c>
      <c r="C590" t="s">
        <v>3154</v>
      </c>
      <c r="F590" t="s">
        <v>823</v>
      </c>
    </row>
    <row r="591" spans="1:6" x14ac:dyDescent="0.15">
      <c r="A591" t="s">
        <v>108</v>
      </c>
      <c r="C591" t="s">
        <v>3155</v>
      </c>
      <c r="F591" t="s">
        <v>824</v>
      </c>
    </row>
    <row r="592" spans="1:6" x14ac:dyDescent="0.15">
      <c r="A592" t="s">
        <v>2206</v>
      </c>
      <c r="C592" t="s">
        <v>3156</v>
      </c>
      <c r="F592" t="s">
        <v>825</v>
      </c>
    </row>
    <row r="593" spans="1:6" x14ac:dyDescent="0.15">
      <c r="A593" t="s">
        <v>3862</v>
      </c>
      <c r="C593" t="s">
        <v>3157</v>
      </c>
      <c r="F593" t="s">
        <v>826</v>
      </c>
    </row>
    <row r="594" spans="1:6" x14ac:dyDescent="0.15">
      <c r="A594" t="s">
        <v>1654</v>
      </c>
      <c r="C594" t="s">
        <v>3158</v>
      </c>
      <c r="F594" t="s">
        <v>827</v>
      </c>
    </row>
    <row r="595" spans="1:6" x14ac:dyDescent="0.15">
      <c r="A595" t="s">
        <v>3863</v>
      </c>
      <c r="C595" t="s">
        <v>3159</v>
      </c>
      <c r="F595" t="s">
        <v>828</v>
      </c>
    </row>
    <row r="596" spans="1:6" x14ac:dyDescent="0.15">
      <c r="A596" t="s">
        <v>3864</v>
      </c>
      <c r="C596" t="s">
        <v>3160</v>
      </c>
      <c r="F596" t="s">
        <v>829</v>
      </c>
    </row>
    <row r="597" spans="1:6" x14ac:dyDescent="0.15">
      <c r="A597" t="s">
        <v>3865</v>
      </c>
      <c r="C597" t="s">
        <v>3161</v>
      </c>
      <c r="F597" t="s">
        <v>830</v>
      </c>
    </row>
    <row r="598" spans="1:6" x14ac:dyDescent="0.15">
      <c r="A598" t="s">
        <v>3866</v>
      </c>
      <c r="C598" t="s">
        <v>3162</v>
      </c>
      <c r="F598" t="s">
        <v>237</v>
      </c>
    </row>
    <row r="599" spans="1:6" x14ac:dyDescent="0.15">
      <c r="A599" t="s">
        <v>1565</v>
      </c>
      <c r="C599" t="s">
        <v>3163</v>
      </c>
      <c r="F599" t="s">
        <v>831</v>
      </c>
    </row>
    <row r="600" spans="1:6" x14ac:dyDescent="0.15">
      <c r="A600" t="s">
        <v>3867</v>
      </c>
      <c r="C600" t="s">
        <v>1114</v>
      </c>
      <c r="F600" t="s">
        <v>832</v>
      </c>
    </row>
    <row r="601" spans="1:6" x14ac:dyDescent="0.15">
      <c r="A601" t="s">
        <v>232</v>
      </c>
      <c r="C601" t="s">
        <v>3164</v>
      </c>
      <c r="F601" t="s">
        <v>833</v>
      </c>
    </row>
    <row r="602" spans="1:6" x14ac:dyDescent="0.15">
      <c r="A602" t="s">
        <v>2744</v>
      </c>
      <c r="C602" t="s">
        <v>3165</v>
      </c>
      <c r="F602" t="s">
        <v>834</v>
      </c>
    </row>
    <row r="603" spans="1:6" x14ac:dyDescent="0.15">
      <c r="A603" t="s">
        <v>3868</v>
      </c>
      <c r="C603" t="s">
        <v>3166</v>
      </c>
      <c r="F603" t="s">
        <v>835</v>
      </c>
    </row>
    <row r="604" spans="1:6" x14ac:dyDescent="0.15">
      <c r="A604" t="s">
        <v>3869</v>
      </c>
      <c r="C604" t="s">
        <v>3167</v>
      </c>
      <c r="F604" t="s">
        <v>836</v>
      </c>
    </row>
    <row r="605" spans="1:6" x14ac:dyDescent="0.15">
      <c r="A605" t="s">
        <v>112</v>
      </c>
      <c r="C605" t="s">
        <v>1553</v>
      </c>
      <c r="F605" t="s">
        <v>837</v>
      </c>
    </row>
    <row r="606" spans="1:6" x14ac:dyDescent="0.15">
      <c r="A606" t="s">
        <v>3870</v>
      </c>
      <c r="C606" t="s">
        <v>3168</v>
      </c>
      <c r="F606" t="s">
        <v>838</v>
      </c>
    </row>
    <row r="607" spans="1:6" x14ac:dyDescent="0.15">
      <c r="A607" t="s">
        <v>3871</v>
      </c>
      <c r="C607" t="s">
        <v>3169</v>
      </c>
      <c r="F607" t="s">
        <v>839</v>
      </c>
    </row>
    <row r="608" spans="1:6" x14ac:dyDescent="0.15">
      <c r="A608" t="s">
        <v>3872</v>
      </c>
      <c r="C608" t="s">
        <v>3170</v>
      </c>
      <c r="F608" t="s">
        <v>840</v>
      </c>
    </row>
    <row r="609" spans="1:6" x14ac:dyDescent="0.15">
      <c r="A609" t="s">
        <v>3873</v>
      </c>
      <c r="C609" t="s">
        <v>3171</v>
      </c>
      <c r="F609" t="s">
        <v>841</v>
      </c>
    </row>
    <row r="610" spans="1:6" x14ac:dyDescent="0.15">
      <c r="A610" t="s">
        <v>904</v>
      </c>
      <c r="C610" t="s">
        <v>3172</v>
      </c>
      <c r="F610" t="s">
        <v>842</v>
      </c>
    </row>
    <row r="611" spans="1:6" x14ac:dyDescent="0.15">
      <c r="A611" t="s">
        <v>227</v>
      </c>
      <c r="C611" t="s">
        <v>3173</v>
      </c>
      <c r="F611" t="s">
        <v>843</v>
      </c>
    </row>
    <row r="612" spans="1:6" x14ac:dyDescent="0.15">
      <c r="A612" t="s">
        <v>2812</v>
      </c>
      <c r="C612" t="s">
        <v>3174</v>
      </c>
      <c r="F612" t="s">
        <v>844</v>
      </c>
    </row>
    <row r="613" spans="1:6" x14ac:dyDescent="0.15">
      <c r="A613" t="s">
        <v>2100</v>
      </c>
      <c r="C613" t="s">
        <v>3175</v>
      </c>
      <c r="F613" t="s">
        <v>845</v>
      </c>
    </row>
    <row r="614" spans="1:6" x14ac:dyDescent="0.15">
      <c r="A614" t="s">
        <v>3874</v>
      </c>
      <c r="C614" t="s">
        <v>3176</v>
      </c>
      <c r="F614" t="s">
        <v>846</v>
      </c>
    </row>
    <row r="615" spans="1:6" x14ac:dyDescent="0.15">
      <c r="A615" t="s">
        <v>3875</v>
      </c>
      <c r="C615" t="s">
        <v>3177</v>
      </c>
      <c r="F615" t="s">
        <v>847</v>
      </c>
    </row>
    <row r="616" spans="1:6" x14ac:dyDescent="0.15">
      <c r="A616" t="s">
        <v>1189</v>
      </c>
      <c r="C616" t="s">
        <v>3178</v>
      </c>
      <c r="F616" t="s">
        <v>848</v>
      </c>
    </row>
    <row r="617" spans="1:6" x14ac:dyDescent="0.15">
      <c r="A617" t="s">
        <v>3876</v>
      </c>
      <c r="C617" t="s">
        <v>3179</v>
      </c>
      <c r="F617" t="s">
        <v>849</v>
      </c>
    </row>
    <row r="618" spans="1:6" x14ac:dyDescent="0.15">
      <c r="A618" t="s">
        <v>3877</v>
      </c>
      <c r="C618" t="s">
        <v>3180</v>
      </c>
      <c r="F618" t="s">
        <v>850</v>
      </c>
    </row>
    <row r="619" spans="1:6" x14ac:dyDescent="0.15">
      <c r="A619" t="s">
        <v>3878</v>
      </c>
      <c r="C619" t="s">
        <v>3181</v>
      </c>
      <c r="F619" t="s">
        <v>75</v>
      </c>
    </row>
    <row r="620" spans="1:6" x14ac:dyDescent="0.15">
      <c r="A620" t="s">
        <v>141</v>
      </c>
      <c r="C620" t="s">
        <v>3182</v>
      </c>
      <c r="F620" t="s">
        <v>851</v>
      </c>
    </row>
    <row r="621" spans="1:6" x14ac:dyDescent="0.15">
      <c r="A621" t="s">
        <v>2071</v>
      </c>
      <c r="C621" t="s">
        <v>3183</v>
      </c>
      <c r="F621" t="s">
        <v>852</v>
      </c>
    </row>
    <row r="622" spans="1:6" x14ac:dyDescent="0.15">
      <c r="A622" t="s">
        <v>3879</v>
      </c>
      <c r="C622" t="s">
        <v>3184</v>
      </c>
      <c r="F622" t="s">
        <v>853</v>
      </c>
    </row>
    <row r="623" spans="1:6" x14ac:dyDescent="0.15">
      <c r="A623" t="s">
        <v>3880</v>
      </c>
      <c r="C623" t="s">
        <v>3185</v>
      </c>
      <c r="F623" t="s">
        <v>854</v>
      </c>
    </row>
    <row r="624" spans="1:6" x14ac:dyDescent="0.15">
      <c r="A624" t="s">
        <v>3881</v>
      </c>
      <c r="C624" t="s">
        <v>3186</v>
      </c>
      <c r="F624" t="s">
        <v>855</v>
      </c>
    </row>
    <row r="625" spans="1:6" x14ac:dyDescent="0.15">
      <c r="A625" t="s">
        <v>3882</v>
      </c>
      <c r="C625" t="s">
        <v>3187</v>
      </c>
      <c r="F625" t="s">
        <v>856</v>
      </c>
    </row>
    <row r="626" spans="1:6" x14ac:dyDescent="0.15">
      <c r="A626" t="s">
        <v>1290</v>
      </c>
      <c r="C626" t="s">
        <v>3188</v>
      </c>
      <c r="F626" t="s">
        <v>857</v>
      </c>
    </row>
    <row r="627" spans="1:6" x14ac:dyDescent="0.15">
      <c r="A627" t="s">
        <v>3883</v>
      </c>
      <c r="C627" t="s">
        <v>3189</v>
      </c>
      <c r="F627" t="s">
        <v>858</v>
      </c>
    </row>
    <row r="628" spans="1:6" x14ac:dyDescent="0.15">
      <c r="A628" t="s">
        <v>3884</v>
      </c>
      <c r="C628" t="s">
        <v>3190</v>
      </c>
      <c r="F628" t="s">
        <v>859</v>
      </c>
    </row>
    <row r="629" spans="1:6" x14ac:dyDescent="0.15">
      <c r="A629" t="s">
        <v>3885</v>
      </c>
      <c r="C629" t="s">
        <v>3191</v>
      </c>
      <c r="F629" t="s">
        <v>860</v>
      </c>
    </row>
    <row r="630" spans="1:6" x14ac:dyDescent="0.15">
      <c r="A630" t="s">
        <v>3886</v>
      </c>
      <c r="C630" t="s">
        <v>966</v>
      </c>
      <c r="F630" t="s">
        <v>861</v>
      </c>
    </row>
    <row r="631" spans="1:6" x14ac:dyDescent="0.15">
      <c r="A631" t="s">
        <v>195</v>
      </c>
      <c r="C631" t="s">
        <v>3192</v>
      </c>
      <c r="F631" t="s">
        <v>1119</v>
      </c>
    </row>
    <row r="632" spans="1:6" x14ac:dyDescent="0.15">
      <c r="A632" t="s">
        <v>92</v>
      </c>
      <c r="C632" t="s">
        <v>3193</v>
      </c>
      <c r="F632" t="s">
        <v>1120</v>
      </c>
    </row>
    <row r="633" spans="1:6" x14ac:dyDescent="0.15">
      <c r="A633" t="s">
        <v>146</v>
      </c>
      <c r="C633" t="s">
        <v>3194</v>
      </c>
      <c r="F633" t="s">
        <v>1121</v>
      </c>
    </row>
    <row r="634" spans="1:6" x14ac:dyDescent="0.15">
      <c r="A634" t="s">
        <v>3887</v>
      </c>
      <c r="C634" t="s">
        <v>3195</v>
      </c>
      <c r="F634" t="s">
        <v>1122</v>
      </c>
    </row>
    <row r="635" spans="1:6" x14ac:dyDescent="0.15">
      <c r="A635" t="s">
        <v>3888</v>
      </c>
      <c r="C635" t="s">
        <v>3196</v>
      </c>
      <c r="F635" t="s">
        <v>1123</v>
      </c>
    </row>
    <row r="636" spans="1:6" x14ac:dyDescent="0.15">
      <c r="A636" t="s">
        <v>366</v>
      </c>
      <c r="C636" t="s">
        <v>3197</v>
      </c>
      <c r="F636" t="s">
        <v>1124</v>
      </c>
    </row>
    <row r="637" spans="1:6" x14ac:dyDescent="0.15">
      <c r="A637" t="s">
        <v>3889</v>
      </c>
      <c r="C637" t="s">
        <v>360</v>
      </c>
      <c r="F637" t="s">
        <v>1125</v>
      </c>
    </row>
    <row r="638" spans="1:6" x14ac:dyDescent="0.15">
      <c r="A638" t="s">
        <v>3890</v>
      </c>
      <c r="C638" t="s">
        <v>3198</v>
      </c>
      <c r="F638" t="s">
        <v>1126</v>
      </c>
    </row>
    <row r="639" spans="1:6" x14ac:dyDescent="0.15">
      <c r="A639" t="s">
        <v>3891</v>
      </c>
      <c r="C639" t="s">
        <v>3199</v>
      </c>
      <c r="F639" t="s">
        <v>50</v>
      </c>
    </row>
    <row r="640" spans="1:6" x14ac:dyDescent="0.15">
      <c r="A640" t="s">
        <v>3892</v>
      </c>
      <c r="C640" t="s">
        <v>3200</v>
      </c>
      <c r="F640" t="s">
        <v>1127</v>
      </c>
    </row>
    <row r="641" spans="1:6" x14ac:dyDescent="0.15">
      <c r="A641" t="s">
        <v>3893</v>
      </c>
      <c r="C641" t="s">
        <v>1025</v>
      </c>
      <c r="F641" t="s">
        <v>1128</v>
      </c>
    </row>
    <row r="642" spans="1:6" x14ac:dyDescent="0.15">
      <c r="A642" t="s">
        <v>3894</v>
      </c>
      <c r="C642" t="s">
        <v>3201</v>
      </c>
      <c r="F642" t="s">
        <v>80</v>
      </c>
    </row>
    <row r="643" spans="1:6" x14ac:dyDescent="0.15">
      <c r="A643" t="s">
        <v>1231</v>
      </c>
      <c r="C643" t="s">
        <v>3202</v>
      </c>
      <c r="F643" t="s">
        <v>1129</v>
      </c>
    </row>
    <row r="644" spans="1:6" x14ac:dyDescent="0.15">
      <c r="A644" t="s">
        <v>115</v>
      </c>
      <c r="C644" t="s">
        <v>3203</v>
      </c>
      <c r="F644" t="s">
        <v>45</v>
      </c>
    </row>
    <row r="645" spans="1:6" x14ac:dyDescent="0.15">
      <c r="A645" t="s">
        <v>2384</v>
      </c>
      <c r="C645" t="s">
        <v>3204</v>
      </c>
      <c r="F645" t="s">
        <v>1130</v>
      </c>
    </row>
    <row r="646" spans="1:6" x14ac:dyDescent="0.15">
      <c r="A646" t="s">
        <v>3895</v>
      </c>
      <c r="C646" t="s">
        <v>3205</v>
      </c>
      <c r="F646" t="s">
        <v>1131</v>
      </c>
    </row>
    <row r="647" spans="1:6" x14ac:dyDescent="0.15">
      <c r="A647" t="s">
        <v>3896</v>
      </c>
      <c r="C647" t="s">
        <v>3206</v>
      </c>
      <c r="F647" t="s">
        <v>1132</v>
      </c>
    </row>
    <row r="648" spans="1:6" x14ac:dyDescent="0.15">
      <c r="A648" t="s">
        <v>14</v>
      </c>
      <c r="C648" t="s">
        <v>3207</v>
      </c>
      <c r="F648" t="s">
        <v>1133</v>
      </c>
    </row>
    <row r="649" spans="1:6" x14ac:dyDescent="0.15">
      <c r="A649" t="s">
        <v>90</v>
      </c>
      <c r="C649" t="s">
        <v>3208</v>
      </c>
      <c r="F649" t="s">
        <v>1134</v>
      </c>
    </row>
    <row r="650" spans="1:6" x14ac:dyDescent="0.15">
      <c r="A650" t="s">
        <v>3897</v>
      </c>
      <c r="C650" t="s">
        <v>3209</v>
      </c>
      <c r="F650" t="s">
        <v>1135</v>
      </c>
    </row>
    <row r="651" spans="1:6" x14ac:dyDescent="0.15">
      <c r="A651" t="s">
        <v>3898</v>
      </c>
      <c r="C651" t="s">
        <v>3210</v>
      </c>
      <c r="F651" t="s">
        <v>81</v>
      </c>
    </row>
    <row r="652" spans="1:6" x14ac:dyDescent="0.15">
      <c r="A652" t="s">
        <v>168</v>
      </c>
      <c r="C652" t="s">
        <v>3211</v>
      </c>
      <c r="F652" t="s">
        <v>1136</v>
      </c>
    </row>
    <row r="653" spans="1:6" x14ac:dyDescent="0.15">
      <c r="A653" t="s">
        <v>3899</v>
      </c>
      <c r="C653" t="s">
        <v>3212</v>
      </c>
      <c r="F653" t="s">
        <v>1137</v>
      </c>
    </row>
    <row r="654" spans="1:6" x14ac:dyDescent="0.15">
      <c r="A654" t="s">
        <v>3900</v>
      </c>
      <c r="C654" t="s">
        <v>3213</v>
      </c>
      <c r="F654" t="s">
        <v>1138</v>
      </c>
    </row>
    <row r="655" spans="1:6" x14ac:dyDescent="0.15">
      <c r="A655" t="s">
        <v>3901</v>
      </c>
      <c r="C655" t="s">
        <v>3214</v>
      </c>
      <c r="F655" t="s">
        <v>1139</v>
      </c>
    </row>
    <row r="656" spans="1:6" x14ac:dyDescent="0.15">
      <c r="A656" t="s">
        <v>748</v>
      </c>
      <c r="C656" t="s">
        <v>3215</v>
      </c>
      <c r="F656" t="s">
        <v>1140</v>
      </c>
    </row>
    <row r="657" spans="1:6" x14ac:dyDescent="0.15">
      <c r="A657" t="s">
        <v>3902</v>
      </c>
      <c r="C657" t="s">
        <v>3216</v>
      </c>
      <c r="F657" t="s">
        <v>1141</v>
      </c>
    </row>
    <row r="658" spans="1:6" x14ac:dyDescent="0.15">
      <c r="A658" t="s">
        <v>3903</v>
      </c>
      <c r="C658" t="s">
        <v>3217</v>
      </c>
      <c r="F658" t="s">
        <v>1142</v>
      </c>
    </row>
    <row r="659" spans="1:6" x14ac:dyDescent="0.15">
      <c r="A659" t="s">
        <v>3904</v>
      </c>
      <c r="C659" t="s">
        <v>3218</v>
      </c>
      <c r="F659" t="s">
        <v>1143</v>
      </c>
    </row>
    <row r="660" spans="1:6" x14ac:dyDescent="0.15">
      <c r="A660" t="s">
        <v>114</v>
      </c>
      <c r="C660" t="s">
        <v>3219</v>
      </c>
      <c r="F660" t="s">
        <v>1144</v>
      </c>
    </row>
    <row r="661" spans="1:6" x14ac:dyDescent="0.15">
      <c r="A661" t="s">
        <v>17</v>
      </c>
      <c r="C661" t="s">
        <v>3220</v>
      </c>
      <c r="F661" t="s">
        <v>1145</v>
      </c>
    </row>
    <row r="662" spans="1:6" x14ac:dyDescent="0.15">
      <c r="A662" t="s">
        <v>2451</v>
      </c>
      <c r="C662" t="s">
        <v>3221</v>
      </c>
      <c r="F662" t="s">
        <v>1146</v>
      </c>
    </row>
    <row r="663" spans="1:6" x14ac:dyDescent="0.15">
      <c r="A663" t="s">
        <v>3905</v>
      </c>
      <c r="C663" t="s">
        <v>3222</v>
      </c>
      <c r="F663" t="s">
        <v>1147</v>
      </c>
    </row>
    <row r="664" spans="1:6" x14ac:dyDescent="0.15">
      <c r="A664" t="s">
        <v>3906</v>
      </c>
      <c r="C664" t="s">
        <v>3223</v>
      </c>
      <c r="F664" t="s">
        <v>1148</v>
      </c>
    </row>
    <row r="665" spans="1:6" x14ac:dyDescent="0.15">
      <c r="A665" t="s">
        <v>2707</v>
      </c>
      <c r="C665" t="s">
        <v>3224</v>
      </c>
      <c r="F665" t="s">
        <v>1149</v>
      </c>
    </row>
    <row r="666" spans="1:6" x14ac:dyDescent="0.15">
      <c r="A666" t="s">
        <v>25</v>
      </c>
      <c r="C666" t="s">
        <v>3225</v>
      </c>
      <c r="F666" t="s">
        <v>1150</v>
      </c>
    </row>
    <row r="667" spans="1:6" x14ac:dyDescent="0.15">
      <c r="A667" t="s">
        <v>3907</v>
      </c>
      <c r="C667" t="s">
        <v>3226</v>
      </c>
      <c r="F667" t="s">
        <v>1151</v>
      </c>
    </row>
    <row r="668" spans="1:6" x14ac:dyDescent="0.15">
      <c r="A668" t="s">
        <v>3908</v>
      </c>
      <c r="C668" t="s">
        <v>3227</v>
      </c>
      <c r="F668" t="s">
        <v>1152</v>
      </c>
    </row>
    <row r="669" spans="1:6" x14ac:dyDescent="0.15">
      <c r="A669" t="s">
        <v>3909</v>
      </c>
      <c r="C669" t="s">
        <v>3228</v>
      </c>
      <c r="F669" t="s">
        <v>1153</v>
      </c>
    </row>
    <row r="670" spans="1:6" x14ac:dyDescent="0.15">
      <c r="A670" t="s">
        <v>3910</v>
      </c>
      <c r="C670" t="s">
        <v>3229</v>
      </c>
      <c r="F670" t="s">
        <v>1154</v>
      </c>
    </row>
    <row r="671" spans="1:6" x14ac:dyDescent="0.15">
      <c r="A671" t="s">
        <v>1546</v>
      </c>
      <c r="C671" t="s">
        <v>3230</v>
      </c>
      <c r="F671" t="s">
        <v>43</v>
      </c>
    </row>
    <row r="672" spans="1:6" x14ac:dyDescent="0.15">
      <c r="A672" t="s">
        <v>3911</v>
      </c>
      <c r="C672" t="s">
        <v>3231</v>
      </c>
      <c r="F672" t="s">
        <v>1155</v>
      </c>
    </row>
    <row r="673" spans="1:6" x14ac:dyDescent="0.15">
      <c r="A673" t="s">
        <v>87</v>
      </c>
      <c r="C673" t="s">
        <v>3232</v>
      </c>
      <c r="F673" t="s">
        <v>1156</v>
      </c>
    </row>
    <row r="674" spans="1:6" x14ac:dyDescent="0.15">
      <c r="A674" t="s">
        <v>3912</v>
      </c>
      <c r="C674" t="s">
        <v>3233</v>
      </c>
      <c r="F674" t="s">
        <v>1157</v>
      </c>
    </row>
    <row r="675" spans="1:6" x14ac:dyDescent="0.15">
      <c r="A675" t="s">
        <v>139</v>
      </c>
      <c r="C675" t="s">
        <v>3234</v>
      </c>
      <c r="F675" t="s">
        <v>881</v>
      </c>
    </row>
    <row r="676" spans="1:6" x14ac:dyDescent="0.15">
      <c r="A676" t="s">
        <v>671</v>
      </c>
      <c r="C676" t="s">
        <v>3235</v>
      </c>
      <c r="F676" t="s">
        <v>1158</v>
      </c>
    </row>
    <row r="677" spans="1:6" x14ac:dyDescent="0.15">
      <c r="A677" t="s">
        <v>2455</v>
      </c>
      <c r="C677" t="s">
        <v>3236</v>
      </c>
      <c r="F677" t="s">
        <v>1159</v>
      </c>
    </row>
    <row r="678" spans="1:6" x14ac:dyDescent="0.15">
      <c r="A678" t="s">
        <v>3913</v>
      </c>
      <c r="C678" t="s">
        <v>3237</v>
      </c>
      <c r="F678" t="s">
        <v>1160</v>
      </c>
    </row>
    <row r="679" spans="1:6" x14ac:dyDescent="0.15">
      <c r="A679" t="s">
        <v>1243</v>
      </c>
      <c r="C679" t="s">
        <v>3238</v>
      </c>
      <c r="F679" t="s">
        <v>1161</v>
      </c>
    </row>
    <row r="680" spans="1:6" x14ac:dyDescent="0.15">
      <c r="A680" t="s">
        <v>49</v>
      </c>
      <c r="C680" t="s">
        <v>3239</v>
      </c>
      <c r="F680" t="s">
        <v>1162</v>
      </c>
    </row>
    <row r="681" spans="1:6" x14ac:dyDescent="0.15">
      <c r="A681" t="s">
        <v>3914</v>
      </c>
      <c r="C681" t="s">
        <v>3240</v>
      </c>
      <c r="F681" t="s">
        <v>1163</v>
      </c>
    </row>
    <row r="682" spans="1:6" x14ac:dyDescent="0.15">
      <c r="A682" t="s">
        <v>644</v>
      </c>
      <c r="C682" t="s">
        <v>3241</v>
      </c>
      <c r="F682" t="s">
        <v>1164</v>
      </c>
    </row>
    <row r="683" spans="1:6" x14ac:dyDescent="0.15">
      <c r="A683" t="s">
        <v>3915</v>
      </c>
      <c r="C683" t="s">
        <v>3242</v>
      </c>
      <c r="F683" t="s">
        <v>1165</v>
      </c>
    </row>
    <row r="684" spans="1:6" x14ac:dyDescent="0.15">
      <c r="A684" t="s">
        <v>3916</v>
      </c>
      <c r="C684" t="s">
        <v>3243</v>
      </c>
      <c r="F684" t="s">
        <v>1166</v>
      </c>
    </row>
    <row r="685" spans="1:6" x14ac:dyDescent="0.15">
      <c r="A685" t="s">
        <v>133</v>
      </c>
      <c r="C685" t="s">
        <v>3244</v>
      </c>
      <c r="F685" t="s">
        <v>1167</v>
      </c>
    </row>
    <row r="686" spans="1:6" x14ac:dyDescent="0.15">
      <c r="A686" t="s">
        <v>3917</v>
      </c>
      <c r="C686" t="s">
        <v>3245</v>
      </c>
      <c r="F686" t="s">
        <v>70</v>
      </c>
    </row>
    <row r="687" spans="1:6" x14ac:dyDescent="0.15">
      <c r="A687" t="s">
        <v>3918</v>
      </c>
      <c r="C687" t="s">
        <v>3246</v>
      </c>
      <c r="F687" t="s">
        <v>1168</v>
      </c>
    </row>
    <row r="688" spans="1:6" x14ac:dyDescent="0.15">
      <c r="A688" t="s">
        <v>3919</v>
      </c>
      <c r="C688" t="s">
        <v>3247</v>
      </c>
      <c r="F688" t="s">
        <v>1169</v>
      </c>
    </row>
    <row r="689" spans="1:6" x14ac:dyDescent="0.15">
      <c r="A689" t="s">
        <v>1200</v>
      </c>
      <c r="C689" t="s">
        <v>3248</v>
      </c>
      <c r="F689" t="s">
        <v>1170</v>
      </c>
    </row>
    <row r="690" spans="1:6" x14ac:dyDescent="0.15">
      <c r="A690" t="s">
        <v>3920</v>
      </c>
      <c r="C690" t="s">
        <v>3249</v>
      </c>
      <c r="F690" t="s">
        <v>1171</v>
      </c>
    </row>
    <row r="691" spans="1:6" x14ac:dyDescent="0.15">
      <c r="A691" t="s">
        <v>3921</v>
      </c>
      <c r="C691" t="s">
        <v>3250</v>
      </c>
      <c r="F691" t="s">
        <v>1172</v>
      </c>
    </row>
    <row r="692" spans="1:6" x14ac:dyDescent="0.15">
      <c r="A692" t="s">
        <v>3922</v>
      </c>
      <c r="C692" t="s">
        <v>3251</v>
      </c>
      <c r="F692" t="s">
        <v>1173</v>
      </c>
    </row>
    <row r="693" spans="1:6" x14ac:dyDescent="0.15">
      <c r="A693" t="s">
        <v>3923</v>
      </c>
      <c r="C693" t="s">
        <v>3252</v>
      </c>
      <c r="F693" t="s">
        <v>1174</v>
      </c>
    </row>
    <row r="694" spans="1:6" x14ac:dyDescent="0.15">
      <c r="A694" t="s">
        <v>2351</v>
      </c>
      <c r="C694" t="s">
        <v>3253</v>
      </c>
      <c r="F694" t="s">
        <v>1175</v>
      </c>
    </row>
    <row r="695" spans="1:6" x14ac:dyDescent="0.15">
      <c r="A695" t="s">
        <v>3924</v>
      </c>
      <c r="C695" t="s">
        <v>3254</v>
      </c>
      <c r="F695" t="s">
        <v>1176</v>
      </c>
    </row>
    <row r="696" spans="1:6" x14ac:dyDescent="0.15">
      <c r="A696" t="s">
        <v>3925</v>
      </c>
      <c r="C696" t="s">
        <v>3255</v>
      </c>
      <c r="F696" t="s">
        <v>1177</v>
      </c>
    </row>
    <row r="697" spans="1:6" x14ac:dyDescent="0.15">
      <c r="A697" t="s">
        <v>3926</v>
      </c>
      <c r="C697" t="s">
        <v>3256</v>
      </c>
      <c r="F697" t="s">
        <v>1178</v>
      </c>
    </row>
    <row r="698" spans="1:6" x14ac:dyDescent="0.15">
      <c r="A698" t="s">
        <v>3927</v>
      </c>
      <c r="C698" t="s">
        <v>3257</v>
      </c>
      <c r="F698" t="s">
        <v>1179</v>
      </c>
    </row>
    <row r="699" spans="1:6" x14ac:dyDescent="0.15">
      <c r="A699" t="s">
        <v>3928</v>
      </c>
      <c r="C699" t="s">
        <v>3258</v>
      </c>
      <c r="F699" t="s">
        <v>1180</v>
      </c>
    </row>
    <row r="700" spans="1:6" x14ac:dyDescent="0.15">
      <c r="A700" t="s">
        <v>12</v>
      </c>
      <c r="C700" t="s">
        <v>3259</v>
      </c>
      <c r="F700" t="s">
        <v>1181</v>
      </c>
    </row>
    <row r="701" spans="1:6" x14ac:dyDescent="0.15">
      <c r="A701" t="s">
        <v>3929</v>
      </c>
      <c r="C701" t="s">
        <v>3260</v>
      </c>
      <c r="F701" t="s">
        <v>1182</v>
      </c>
    </row>
    <row r="702" spans="1:6" x14ac:dyDescent="0.15">
      <c r="A702" t="s">
        <v>82</v>
      </c>
      <c r="C702" t="s">
        <v>3261</v>
      </c>
      <c r="F702" t="s">
        <v>1183</v>
      </c>
    </row>
    <row r="703" spans="1:6" x14ac:dyDescent="0.15">
      <c r="A703" t="s">
        <v>3930</v>
      </c>
      <c r="C703" t="s">
        <v>3262</v>
      </c>
      <c r="F703" t="s">
        <v>1184</v>
      </c>
    </row>
    <row r="704" spans="1:6" x14ac:dyDescent="0.15">
      <c r="A704" t="s">
        <v>1383</v>
      </c>
      <c r="C704" t="s">
        <v>3263</v>
      </c>
      <c r="F704" t="s">
        <v>1185</v>
      </c>
    </row>
    <row r="705" spans="1:6" x14ac:dyDescent="0.15">
      <c r="A705" t="s">
        <v>433</v>
      </c>
      <c r="C705" t="s">
        <v>3264</v>
      </c>
      <c r="F705" t="s">
        <v>1186</v>
      </c>
    </row>
    <row r="706" spans="1:6" x14ac:dyDescent="0.15">
      <c r="A706" t="s">
        <v>3931</v>
      </c>
      <c r="C706" t="s">
        <v>3265</v>
      </c>
      <c r="F706" t="s">
        <v>1187</v>
      </c>
    </row>
    <row r="707" spans="1:6" x14ac:dyDescent="0.15">
      <c r="A707" t="s">
        <v>3932</v>
      </c>
      <c r="C707" t="s">
        <v>3266</v>
      </c>
      <c r="F707" t="s">
        <v>1188</v>
      </c>
    </row>
    <row r="708" spans="1:6" x14ac:dyDescent="0.15">
      <c r="A708" t="s">
        <v>154</v>
      </c>
      <c r="C708" t="s">
        <v>3267</v>
      </c>
      <c r="F708" t="s">
        <v>1189</v>
      </c>
    </row>
    <row r="709" spans="1:6" x14ac:dyDescent="0.15">
      <c r="A709" t="s">
        <v>51</v>
      </c>
      <c r="C709" t="s">
        <v>958</v>
      </c>
      <c r="F709" t="s">
        <v>1190</v>
      </c>
    </row>
    <row r="710" spans="1:6" x14ac:dyDescent="0.15">
      <c r="A710" t="s">
        <v>3933</v>
      </c>
      <c r="C710" t="s">
        <v>3268</v>
      </c>
      <c r="F710" t="s">
        <v>954</v>
      </c>
    </row>
    <row r="711" spans="1:6" x14ac:dyDescent="0.15">
      <c r="A711" t="s">
        <v>2328</v>
      </c>
      <c r="C711" t="s">
        <v>1575</v>
      </c>
      <c r="F711" t="s">
        <v>1191</v>
      </c>
    </row>
    <row r="712" spans="1:6" x14ac:dyDescent="0.15">
      <c r="A712" t="s">
        <v>3934</v>
      </c>
      <c r="C712" t="s">
        <v>3269</v>
      </c>
      <c r="F712" t="s">
        <v>1192</v>
      </c>
    </row>
    <row r="713" spans="1:6" x14ac:dyDescent="0.15">
      <c r="A713" t="s">
        <v>3935</v>
      </c>
      <c r="C713" t="s">
        <v>3270</v>
      </c>
      <c r="F713" t="s">
        <v>1193</v>
      </c>
    </row>
    <row r="714" spans="1:6" x14ac:dyDescent="0.15">
      <c r="A714" t="s">
        <v>3936</v>
      </c>
      <c r="C714" t="s">
        <v>939</v>
      </c>
      <c r="F714" t="s">
        <v>1194</v>
      </c>
    </row>
    <row r="715" spans="1:6" x14ac:dyDescent="0.15">
      <c r="A715" t="s">
        <v>3937</v>
      </c>
      <c r="C715" t="s">
        <v>3271</v>
      </c>
      <c r="F715" t="s">
        <v>1195</v>
      </c>
    </row>
    <row r="716" spans="1:6" x14ac:dyDescent="0.15">
      <c r="A716" t="s">
        <v>3938</v>
      </c>
      <c r="C716" t="s">
        <v>3272</v>
      </c>
      <c r="F716" t="s">
        <v>1196</v>
      </c>
    </row>
    <row r="717" spans="1:6" x14ac:dyDescent="0.15">
      <c r="A717" t="s">
        <v>3939</v>
      </c>
      <c r="C717" t="s">
        <v>3273</v>
      </c>
      <c r="F717" t="s">
        <v>1197</v>
      </c>
    </row>
    <row r="718" spans="1:6" x14ac:dyDescent="0.15">
      <c r="A718" t="s">
        <v>136</v>
      </c>
      <c r="C718" t="s">
        <v>3274</v>
      </c>
      <c r="F718" t="s">
        <v>1198</v>
      </c>
    </row>
    <row r="719" spans="1:6" x14ac:dyDescent="0.15">
      <c r="A719" t="s">
        <v>3940</v>
      </c>
      <c r="C719" t="s">
        <v>3275</v>
      </c>
      <c r="F719" t="s">
        <v>1199</v>
      </c>
    </row>
    <row r="720" spans="1:6" x14ac:dyDescent="0.15">
      <c r="A720" t="s">
        <v>3941</v>
      </c>
      <c r="C720" t="s">
        <v>3276</v>
      </c>
      <c r="F720" t="s">
        <v>1200</v>
      </c>
    </row>
    <row r="721" spans="1:6" x14ac:dyDescent="0.15">
      <c r="A721" t="s">
        <v>3942</v>
      </c>
      <c r="C721" t="s">
        <v>3277</v>
      </c>
      <c r="F721" t="s">
        <v>1201</v>
      </c>
    </row>
    <row r="722" spans="1:6" x14ac:dyDescent="0.15">
      <c r="A722" t="s">
        <v>23</v>
      </c>
      <c r="C722" t="s">
        <v>3278</v>
      </c>
      <c r="F722" t="s">
        <v>1202</v>
      </c>
    </row>
    <row r="723" spans="1:6" x14ac:dyDescent="0.15">
      <c r="A723" t="s">
        <v>3943</v>
      </c>
      <c r="C723" t="s">
        <v>3279</v>
      </c>
      <c r="F723" t="s">
        <v>1203</v>
      </c>
    </row>
    <row r="724" spans="1:6" x14ac:dyDescent="0.15">
      <c r="A724" t="s">
        <v>3944</v>
      </c>
      <c r="C724" t="s">
        <v>3280</v>
      </c>
      <c r="F724" t="s">
        <v>1204</v>
      </c>
    </row>
    <row r="725" spans="1:6" x14ac:dyDescent="0.15">
      <c r="A725" t="s">
        <v>118</v>
      </c>
      <c r="C725" t="s">
        <v>3281</v>
      </c>
      <c r="F725" t="s">
        <v>1205</v>
      </c>
    </row>
    <row r="726" spans="1:6" x14ac:dyDescent="0.15">
      <c r="A726" t="s">
        <v>1839</v>
      </c>
      <c r="C726" t="s">
        <v>3282</v>
      </c>
      <c r="F726" t="s">
        <v>1206</v>
      </c>
    </row>
    <row r="727" spans="1:6" x14ac:dyDescent="0.15">
      <c r="A727" t="s">
        <v>3945</v>
      </c>
      <c r="C727" t="s">
        <v>3283</v>
      </c>
      <c r="F727" t="s">
        <v>1207</v>
      </c>
    </row>
    <row r="728" spans="1:6" x14ac:dyDescent="0.15">
      <c r="A728" t="s">
        <v>3946</v>
      </c>
      <c r="C728" t="s">
        <v>3284</v>
      </c>
      <c r="F728" t="s">
        <v>1208</v>
      </c>
    </row>
    <row r="729" spans="1:6" x14ac:dyDescent="0.15">
      <c r="A729" t="s">
        <v>3947</v>
      </c>
      <c r="C729" t="s">
        <v>3285</v>
      </c>
      <c r="F729" t="s">
        <v>1209</v>
      </c>
    </row>
    <row r="730" spans="1:6" x14ac:dyDescent="0.15">
      <c r="A730" t="s">
        <v>3948</v>
      </c>
      <c r="C730" t="s">
        <v>3286</v>
      </c>
      <c r="F730" t="s">
        <v>1210</v>
      </c>
    </row>
    <row r="731" spans="1:6" x14ac:dyDescent="0.15">
      <c r="A731" t="s">
        <v>1588</v>
      </c>
      <c r="C731" t="s">
        <v>3287</v>
      </c>
      <c r="F731" t="s">
        <v>1211</v>
      </c>
    </row>
    <row r="732" spans="1:6" x14ac:dyDescent="0.15">
      <c r="A732" t="s">
        <v>3949</v>
      </c>
      <c r="C732" t="s">
        <v>3288</v>
      </c>
      <c r="F732" t="s">
        <v>1212</v>
      </c>
    </row>
    <row r="733" spans="1:6" x14ac:dyDescent="0.15">
      <c r="A733" t="s">
        <v>3950</v>
      </c>
      <c r="C733" t="s">
        <v>3289</v>
      </c>
      <c r="F733" t="s">
        <v>1213</v>
      </c>
    </row>
    <row r="734" spans="1:6" x14ac:dyDescent="0.15">
      <c r="A734" t="s">
        <v>3951</v>
      </c>
      <c r="C734" t="s">
        <v>3290</v>
      </c>
      <c r="F734" t="s">
        <v>1214</v>
      </c>
    </row>
    <row r="735" spans="1:6" x14ac:dyDescent="0.15">
      <c r="A735" t="s">
        <v>70</v>
      </c>
      <c r="C735" t="s">
        <v>3291</v>
      </c>
      <c r="F735" t="s">
        <v>120</v>
      </c>
    </row>
    <row r="736" spans="1:6" x14ac:dyDescent="0.15">
      <c r="A736" t="s">
        <v>3952</v>
      </c>
      <c r="C736" t="s">
        <v>3292</v>
      </c>
      <c r="F736" t="s">
        <v>1215</v>
      </c>
    </row>
    <row r="737" spans="1:6" x14ac:dyDescent="0.15">
      <c r="A737" t="s">
        <v>1685</v>
      </c>
      <c r="C737" t="s">
        <v>3293</v>
      </c>
      <c r="F737" t="s">
        <v>1216</v>
      </c>
    </row>
    <row r="738" spans="1:6" x14ac:dyDescent="0.15">
      <c r="A738" t="s">
        <v>3953</v>
      </c>
      <c r="C738" t="s">
        <v>3294</v>
      </c>
      <c r="F738" t="s">
        <v>1217</v>
      </c>
    </row>
    <row r="739" spans="1:6" x14ac:dyDescent="0.15">
      <c r="A739" t="s">
        <v>3954</v>
      </c>
      <c r="C739" t="s">
        <v>3295</v>
      </c>
      <c r="F739" t="s">
        <v>1218</v>
      </c>
    </row>
    <row r="740" spans="1:6" x14ac:dyDescent="0.15">
      <c r="A740" t="s">
        <v>2775</v>
      </c>
      <c r="C740" t="s">
        <v>3296</v>
      </c>
      <c r="F740" t="s">
        <v>1219</v>
      </c>
    </row>
    <row r="741" spans="1:6" x14ac:dyDescent="0.15">
      <c r="A741" t="s">
        <v>3955</v>
      </c>
      <c r="C741" t="s">
        <v>979</v>
      </c>
      <c r="F741" t="s">
        <v>1220</v>
      </c>
    </row>
    <row r="742" spans="1:6" x14ac:dyDescent="0.15">
      <c r="A742" t="s">
        <v>478</v>
      </c>
      <c r="C742" t="s">
        <v>1030</v>
      </c>
      <c r="F742" t="s">
        <v>3</v>
      </c>
    </row>
    <row r="743" spans="1:6" x14ac:dyDescent="0.15">
      <c r="A743" t="s">
        <v>3956</v>
      </c>
      <c r="C743" t="s">
        <v>3297</v>
      </c>
      <c r="F743" t="s">
        <v>1221</v>
      </c>
    </row>
    <row r="744" spans="1:6" x14ac:dyDescent="0.15">
      <c r="A744" t="s">
        <v>3957</v>
      </c>
      <c r="C744" t="s">
        <v>3298</v>
      </c>
      <c r="F744" t="s">
        <v>1222</v>
      </c>
    </row>
    <row r="745" spans="1:6" x14ac:dyDescent="0.15">
      <c r="A745" t="s">
        <v>3958</v>
      </c>
      <c r="C745" t="s">
        <v>2695</v>
      </c>
      <c r="F745" t="s">
        <v>1223</v>
      </c>
    </row>
    <row r="746" spans="1:6" x14ac:dyDescent="0.15">
      <c r="A746" t="s">
        <v>3959</v>
      </c>
      <c r="C746" t="s">
        <v>940</v>
      </c>
      <c r="F746" t="s">
        <v>1224</v>
      </c>
    </row>
    <row r="747" spans="1:6" x14ac:dyDescent="0.15">
      <c r="A747" t="s">
        <v>3960</v>
      </c>
      <c r="C747" t="s">
        <v>3299</v>
      </c>
      <c r="F747" t="s">
        <v>1225</v>
      </c>
    </row>
    <row r="748" spans="1:6" x14ac:dyDescent="0.15">
      <c r="A748" t="s">
        <v>3961</v>
      </c>
      <c r="C748" t="s">
        <v>3300</v>
      </c>
      <c r="F748" t="s">
        <v>1226</v>
      </c>
    </row>
    <row r="749" spans="1:6" x14ac:dyDescent="0.15">
      <c r="A749" t="s">
        <v>3962</v>
      </c>
      <c r="C749" t="s">
        <v>3301</v>
      </c>
      <c r="F749" t="s">
        <v>1227</v>
      </c>
    </row>
    <row r="750" spans="1:6" x14ac:dyDescent="0.15">
      <c r="A750" t="s">
        <v>3963</v>
      </c>
      <c r="C750" t="s">
        <v>3302</v>
      </c>
      <c r="F750" t="s">
        <v>1228</v>
      </c>
    </row>
    <row r="751" spans="1:6" x14ac:dyDescent="0.15">
      <c r="A751" t="s">
        <v>3964</v>
      </c>
      <c r="C751" t="s">
        <v>3303</v>
      </c>
      <c r="F751" t="s">
        <v>1229</v>
      </c>
    </row>
    <row r="752" spans="1:6" x14ac:dyDescent="0.15">
      <c r="A752" t="s">
        <v>3965</v>
      </c>
      <c r="C752" t="s">
        <v>3304</v>
      </c>
      <c r="F752" t="s">
        <v>1230</v>
      </c>
    </row>
    <row r="753" spans="1:6" x14ac:dyDescent="0.15">
      <c r="A753" t="s">
        <v>910</v>
      </c>
      <c r="C753" t="s">
        <v>3305</v>
      </c>
      <c r="F753" t="s">
        <v>1231</v>
      </c>
    </row>
    <row r="754" spans="1:6" x14ac:dyDescent="0.15">
      <c r="A754" t="s">
        <v>3966</v>
      </c>
      <c r="C754" t="s">
        <v>3306</v>
      </c>
      <c r="F754" t="s">
        <v>1232</v>
      </c>
    </row>
    <row r="755" spans="1:6" x14ac:dyDescent="0.15">
      <c r="A755" t="s">
        <v>3967</v>
      </c>
      <c r="C755" t="s">
        <v>3307</v>
      </c>
      <c r="F755" t="s">
        <v>1233</v>
      </c>
    </row>
    <row r="756" spans="1:6" x14ac:dyDescent="0.15">
      <c r="A756" t="s">
        <v>3968</v>
      </c>
      <c r="C756" t="s">
        <v>3308</v>
      </c>
      <c r="F756" t="s">
        <v>1234</v>
      </c>
    </row>
    <row r="757" spans="1:6" x14ac:dyDescent="0.15">
      <c r="A757" t="s">
        <v>3969</v>
      </c>
      <c r="C757" t="s">
        <v>3309</v>
      </c>
      <c r="F757" t="s">
        <v>1235</v>
      </c>
    </row>
    <row r="758" spans="1:6" x14ac:dyDescent="0.15">
      <c r="A758" t="s">
        <v>3970</v>
      </c>
      <c r="C758" t="s">
        <v>3310</v>
      </c>
      <c r="F758" t="s">
        <v>1236</v>
      </c>
    </row>
    <row r="759" spans="1:6" x14ac:dyDescent="0.15">
      <c r="A759" t="s">
        <v>881</v>
      </c>
      <c r="C759" t="s">
        <v>3311</v>
      </c>
      <c r="F759" t="s">
        <v>1237</v>
      </c>
    </row>
    <row r="760" spans="1:6" x14ac:dyDescent="0.15">
      <c r="A760" t="s">
        <v>235</v>
      </c>
      <c r="C760" t="s">
        <v>3312</v>
      </c>
      <c r="F760" t="s">
        <v>1238</v>
      </c>
    </row>
    <row r="761" spans="1:6" x14ac:dyDescent="0.15">
      <c r="A761" t="s">
        <v>3971</v>
      </c>
      <c r="C761" t="s">
        <v>3313</v>
      </c>
      <c r="F761" t="s">
        <v>1239</v>
      </c>
    </row>
    <row r="762" spans="1:6" x14ac:dyDescent="0.15">
      <c r="A762" t="s">
        <v>3972</v>
      </c>
      <c r="C762" t="s">
        <v>3314</v>
      </c>
      <c r="F762" t="s">
        <v>1240</v>
      </c>
    </row>
    <row r="763" spans="1:6" x14ac:dyDescent="0.15">
      <c r="A763" t="s">
        <v>2165</v>
      </c>
      <c r="C763" t="s">
        <v>3315</v>
      </c>
      <c r="F763" t="s">
        <v>230</v>
      </c>
    </row>
    <row r="764" spans="1:6" x14ac:dyDescent="0.15">
      <c r="A764" t="s">
        <v>1202</v>
      </c>
      <c r="C764" t="s">
        <v>3316</v>
      </c>
      <c r="F764" t="s">
        <v>1241</v>
      </c>
    </row>
    <row r="765" spans="1:6" x14ac:dyDescent="0.15">
      <c r="A765" t="s">
        <v>3973</v>
      </c>
      <c r="C765" t="s">
        <v>3317</v>
      </c>
      <c r="F765" t="s">
        <v>1242</v>
      </c>
    </row>
    <row r="766" spans="1:6" x14ac:dyDescent="0.15">
      <c r="A766" t="s">
        <v>2661</v>
      </c>
      <c r="C766" t="s">
        <v>3318</v>
      </c>
      <c r="F766" t="s">
        <v>1243</v>
      </c>
    </row>
    <row r="767" spans="1:6" x14ac:dyDescent="0.15">
      <c r="A767" t="s">
        <v>2194</v>
      </c>
      <c r="C767" t="s">
        <v>3319</v>
      </c>
      <c r="F767" t="s">
        <v>1244</v>
      </c>
    </row>
    <row r="768" spans="1:6" x14ac:dyDescent="0.15">
      <c r="A768" t="s">
        <v>3974</v>
      </c>
      <c r="C768" t="s">
        <v>3320</v>
      </c>
      <c r="F768" t="s">
        <v>1245</v>
      </c>
    </row>
    <row r="769" spans="1:6" x14ac:dyDescent="0.15">
      <c r="A769" t="s">
        <v>3975</v>
      </c>
      <c r="C769" t="s">
        <v>3321</v>
      </c>
      <c r="F769" t="s">
        <v>136</v>
      </c>
    </row>
    <row r="770" spans="1:6" x14ac:dyDescent="0.15">
      <c r="A770" t="s">
        <v>2550</v>
      </c>
      <c r="C770" t="s">
        <v>3322</v>
      </c>
      <c r="F770" t="s">
        <v>1246</v>
      </c>
    </row>
    <row r="771" spans="1:6" x14ac:dyDescent="0.15">
      <c r="A771" t="s">
        <v>1118</v>
      </c>
      <c r="C771" t="s">
        <v>3323</v>
      </c>
      <c r="F771" t="s">
        <v>1247</v>
      </c>
    </row>
    <row r="772" spans="1:6" x14ac:dyDescent="0.15">
      <c r="A772" t="s">
        <v>1800</v>
      </c>
      <c r="C772" t="s">
        <v>3324</v>
      </c>
      <c r="F772" t="s">
        <v>1248</v>
      </c>
    </row>
    <row r="773" spans="1:6" x14ac:dyDescent="0.15">
      <c r="A773" t="s">
        <v>1299</v>
      </c>
      <c r="C773" t="s">
        <v>3325</v>
      </c>
      <c r="F773" t="s">
        <v>1249</v>
      </c>
    </row>
    <row r="774" spans="1:6" x14ac:dyDescent="0.15">
      <c r="A774" t="s">
        <v>2810</v>
      </c>
      <c r="C774" t="s">
        <v>3326</v>
      </c>
      <c r="F774" t="s">
        <v>1250</v>
      </c>
    </row>
    <row r="775" spans="1:6" x14ac:dyDescent="0.15">
      <c r="A775" t="s">
        <v>1411</v>
      </c>
      <c r="C775" t="s">
        <v>3327</v>
      </c>
      <c r="F775" t="s">
        <v>1251</v>
      </c>
    </row>
    <row r="776" spans="1:6" x14ac:dyDescent="0.15">
      <c r="A776" t="s">
        <v>3976</v>
      </c>
      <c r="C776" t="s">
        <v>3328</v>
      </c>
      <c r="F776" t="s">
        <v>1252</v>
      </c>
    </row>
    <row r="777" spans="1:6" x14ac:dyDescent="0.15">
      <c r="A777" t="s">
        <v>3977</v>
      </c>
      <c r="C777" t="s">
        <v>3329</v>
      </c>
      <c r="F777" t="s">
        <v>1253</v>
      </c>
    </row>
    <row r="778" spans="1:6" x14ac:dyDescent="0.15">
      <c r="A778" t="s">
        <v>3978</v>
      </c>
      <c r="C778" t="s">
        <v>3330</v>
      </c>
      <c r="F778" t="s">
        <v>1254</v>
      </c>
    </row>
    <row r="779" spans="1:6" x14ac:dyDescent="0.15">
      <c r="A779" t="s">
        <v>128</v>
      </c>
      <c r="C779" t="s">
        <v>3331</v>
      </c>
      <c r="F779" t="s">
        <v>1255</v>
      </c>
    </row>
    <row r="780" spans="1:6" x14ac:dyDescent="0.15">
      <c r="A780" t="s">
        <v>3979</v>
      </c>
      <c r="C780" t="s">
        <v>3332</v>
      </c>
      <c r="F780" t="s">
        <v>1256</v>
      </c>
    </row>
    <row r="781" spans="1:6" x14ac:dyDescent="0.15">
      <c r="A781" t="s">
        <v>3980</v>
      </c>
      <c r="C781" t="s">
        <v>3333</v>
      </c>
      <c r="F781" t="s">
        <v>1257</v>
      </c>
    </row>
    <row r="782" spans="1:6" x14ac:dyDescent="0.15">
      <c r="A782" t="s">
        <v>3981</v>
      </c>
      <c r="C782" t="s">
        <v>3334</v>
      </c>
      <c r="F782" t="s">
        <v>1258</v>
      </c>
    </row>
    <row r="783" spans="1:6" x14ac:dyDescent="0.15">
      <c r="A783" t="s">
        <v>3982</v>
      </c>
      <c r="C783" t="s">
        <v>3335</v>
      </c>
      <c r="F783" t="s">
        <v>139</v>
      </c>
    </row>
    <row r="784" spans="1:6" x14ac:dyDescent="0.15">
      <c r="A784" t="s">
        <v>3983</v>
      </c>
      <c r="C784" t="s">
        <v>3336</v>
      </c>
      <c r="F784" t="s">
        <v>1259</v>
      </c>
    </row>
    <row r="785" spans="1:6" x14ac:dyDescent="0.15">
      <c r="A785" t="s">
        <v>3984</v>
      </c>
      <c r="C785" t="s">
        <v>3337</v>
      </c>
      <c r="F785" t="s">
        <v>1260</v>
      </c>
    </row>
    <row r="786" spans="1:6" x14ac:dyDescent="0.15">
      <c r="A786" t="s">
        <v>2158</v>
      </c>
      <c r="C786" t="s">
        <v>3338</v>
      </c>
      <c r="F786" t="s">
        <v>1261</v>
      </c>
    </row>
    <row r="787" spans="1:6" x14ac:dyDescent="0.15">
      <c r="A787" t="s">
        <v>439</v>
      </c>
      <c r="C787" t="s">
        <v>3339</v>
      </c>
      <c r="F787" t="s">
        <v>1262</v>
      </c>
    </row>
    <row r="788" spans="1:6" x14ac:dyDescent="0.15">
      <c r="A788" t="s">
        <v>1434</v>
      </c>
      <c r="C788" t="s">
        <v>3340</v>
      </c>
      <c r="F788" t="s">
        <v>1263</v>
      </c>
    </row>
    <row r="789" spans="1:6" x14ac:dyDescent="0.15">
      <c r="A789" t="s">
        <v>3985</v>
      </c>
      <c r="C789" t="s">
        <v>3341</v>
      </c>
      <c r="F789" t="s">
        <v>1264</v>
      </c>
    </row>
    <row r="790" spans="1:6" x14ac:dyDescent="0.15">
      <c r="A790" t="s">
        <v>69</v>
      </c>
      <c r="C790" t="s">
        <v>3342</v>
      </c>
      <c r="F790" t="s">
        <v>1265</v>
      </c>
    </row>
    <row r="791" spans="1:6" x14ac:dyDescent="0.15">
      <c r="A791" t="s">
        <v>1179</v>
      </c>
      <c r="C791" t="s">
        <v>3343</v>
      </c>
      <c r="F791" t="s">
        <v>1266</v>
      </c>
    </row>
    <row r="792" spans="1:6" x14ac:dyDescent="0.15">
      <c r="A792" t="s">
        <v>3986</v>
      </c>
      <c r="C792" t="s">
        <v>3344</v>
      </c>
      <c r="F792" t="s">
        <v>1267</v>
      </c>
    </row>
    <row r="793" spans="1:6" x14ac:dyDescent="0.15">
      <c r="A793" t="s">
        <v>3987</v>
      </c>
      <c r="C793" t="s">
        <v>980</v>
      </c>
      <c r="F793" t="s">
        <v>1268</v>
      </c>
    </row>
    <row r="794" spans="1:6" x14ac:dyDescent="0.15">
      <c r="A794" t="s">
        <v>3988</v>
      </c>
      <c r="C794" t="s">
        <v>3345</v>
      </c>
      <c r="F794" t="s">
        <v>1269</v>
      </c>
    </row>
    <row r="795" spans="1:6" x14ac:dyDescent="0.15">
      <c r="A795" t="s">
        <v>330</v>
      </c>
      <c r="C795" t="s">
        <v>3346</v>
      </c>
      <c r="F795" t="s">
        <v>1270</v>
      </c>
    </row>
    <row r="796" spans="1:6" x14ac:dyDescent="0.15">
      <c r="A796" t="s">
        <v>2636</v>
      </c>
      <c r="C796" t="s">
        <v>3347</v>
      </c>
      <c r="F796" t="s">
        <v>1271</v>
      </c>
    </row>
    <row r="797" spans="1:6" x14ac:dyDescent="0.15">
      <c r="A797" t="s">
        <v>100</v>
      </c>
      <c r="C797" t="s">
        <v>3348</v>
      </c>
      <c r="F797" t="s">
        <v>15</v>
      </c>
    </row>
    <row r="798" spans="1:6" x14ac:dyDescent="0.15">
      <c r="A798" t="s">
        <v>3989</v>
      </c>
      <c r="C798" t="s">
        <v>3349</v>
      </c>
      <c r="F798" t="s">
        <v>1272</v>
      </c>
    </row>
    <row r="799" spans="1:6" x14ac:dyDescent="0.15">
      <c r="A799" t="s">
        <v>743</v>
      </c>
      <c r="C799" t="s">
        <v>3350</v>
      </c>
      <c r="F799" t="s">
        <v>1273</v>
      </c>
    </row>
    <row r="800" spans="1:6" x14ac:dyDescent="0.15">
      <c r="A800" t="s">
        <v>94</v>
      </c>
      <c r="C800" t="s">
        <v>3351</v>
      </c>
      <c r="F800" t="s">
        <v>1274</v>
      </c>
    </row>
    <row r="801" spans="1:6" x14ac:dyDescent="0.15">
      <c r="A801" t="s">
        <v>3990</v>
      </c>
      <c r="C801" t="s">
        <v>3352</v>
      </c>
      <c r="F801" t="s">
        <v>1275</v>
      </c>
    </row>
    <row r="802" spans="1:6" x14ac:dyDescent="0.15">
      <c r="A802" t="s">
        <v>3991</v>
      </c>
      <c r="C802" t="s">
        <v>3353</v>
      </c>
      <c r="F802" t="s">
        <v>1276</v>
      </c>
    </row>
    <row r="803" spans="1:6" x14ac:dyDescent="0.15">
      <c r="A803" t="s">
        <v>3992</v>
      </c>
      <c r="C803" t="s">
        <v>3354</v>
      </c>
      <c r="F803" t="s">
        <v>1277</v>
      </c>
    </row>
    <row r="804" spans="1:6" x14ac:dyDescent="0.15">
      <c r="A804" t="s">
        <v>3993</v>
      </c>
      <c r="C804" t="s">
        <v>3355</v>
      </c>
      <c r="F804" t="s">
        <v>1278</v>
      </c>
    </row>
    <row r="805" spans="1:6" x14ac:dyDescent="0.15">
      <c r="A805" t="s">
        <v>3994</v>
      </c>
      <c r="C805" t="s">
        <v>3356</v>
      </c>
      <c r="F805" t="s">
        <v>1279</v>
      </c>
    </row>
    <row r="806" spans="1:6" x14ac:dyDescent="0.15">
      <c r="A806" t="s">
        <v>3995</v>
      </c>
      <c r="C806" t="s">
        <v>3357</v>
      </c>
      <c r="F806" t="s">
        <v>1280</v>
      </c>
    </row>
    <row r="807" spans="1:6" x14ac:dyDescent="0.15">
      <c r="A807" t="s">
        <v>1169</v>
      </c>
      <c r="C807" t="s">
        <v>3358</v>
      </c>
      <c r="F807" t="s">
        <v>1281</v>
      </c>
    </row>
    <row r="808" spans="1:6" x14ac:dyDescent="0.15">
      <c r="A808" t="s">
        <v>3996</v>
      </c>
      <c r="C808" t="s">
        <v>3359</v>
      </c>
      <c r="F808" t="s">
        <v>984</v>
      </c>
    </row>
    <row r="809" spans="1:6" x14ac:dyDescent="0.15">
      <c r="A809" t="s">
        <v>2290</v>
      </c>
      <c r="C809" t="s">
        <v>3360</v>
      </c>
      <c r="F809" t="s">
        <v>1282</v>
      </c>
    </row>
    <row r="810" spans="1:6" x14ac:dyDescent="0.15">
      <c r="A810" t="s">
        <v>62</v>
      </c>
      <c r="C810" t="s">
        <v>3361</v>
      </c>
      <c r="F810" t="s">
        <v>128</v>
      </c>
    </row>
    <row r="811" spans="1:6" x14ac:dyDescent="0.15">
      <c r="A811" t="s">
        <v>498</v>
      </c>
      <c r="C811" t="s">
        <v>3362</v>
      </c>
      <c r="F811" t="s">
        <v>1283</v>
      </c>
    </row>
    <row r="812" spans="1:6" x14ac:dyDescent="0.15">
      <c r="A812" t="s">
        <v>3997</v>
      </c>
      <c r="C812" t="s">
        <v>3363</v>
      </c>
      <c r="F812" t="s">
        <v>1284</v>
      </c>
    </row>
    <row r="813" spans="1:6" x14ac:dyDescent="0.15">
      <c r="A813" t="s">
        <v>3998</v>
      </c>
      <c r="C813" t="s">
        <v>3364</v>
      </c>
      <c r="F813" t="s">
        <v>1285</v>
      </c>
    </row>
    <row r="814" spans="1:6" x14ac:dyDescent="0.15">
      <c r="A814" t="s">
        <v>3999</v>
      </c>
      <c r="C814" t="s">
        <v>3365</v>
      </c>
      <c r="F814" t="s">
        <v>1286</v>
      </c>
    </row>
    <row r="815" spans="1:6" x14ac:dyDescent="0.15">
      <c r="A815" t="s">
        <v>2430</v>
      </c>
      <c r="C815" t="s">
        <v>3366</v>
      </c>
      <c r="F815" t="s">
        <v>24</v>
      </c>
    </row>
    <row r="816" spans="1:6" x14ac:dyDescent="0.15">
      <c r="A816" t="s">
        <v>4000</v>
      </c>
      <c r="C816" t="s">
        <v>3367</v>
      </c>
      <c r="F816" t="s">
        <v>1287</v>
      </c>
    </row>
    <row r="817" spans="1:6" x14ac:dyDescent="0.15">
      <c r="A817" t="s">
        <v>4001</v>
      </c>
      <c r="C817" t="s">
        <v>3368</v>
      </c>
      <c r="F817" t="s">
        <v>1288</v>
      </c>
    </row>
    <row r="818" spans="1:6" x14ac:dyDescent="0.15">
      <c r="A818" t="s">
        <v>4002</v>
      </c>
      <c r="C818" t="s">
        <v>3369</v>
      </c>
      <c r="F818" t="s">
        <v>1289</v>
      </c>
    </row>
    <row r="819" spans="1:6" x14ac:dyDescent="0.15">
      <c r="A819" t="s">
        <v>1607</v>
      </c>
      <c r="C819" t="s">
        <v>3370</v>
      </c>
      <c r="F819" t="s">
        <v>1290</v>
      </c>
    </row>
    <row r="820" spans="1:6" x14ac:dyDescent="0.15">
      <c r="A820" t="s">
        <v>4003</v>
      </c>
      <c r="C820" t="s">
        <v>3371</v>
      </c>
      <c r="F820" t="s">
        <v>1291</v>
      </c>
    </row>
    <row r="821" spans="1:6" x14ac:dyDescent="0.15">
      <c r="A821" t="s">
        <v>4004</v>
      </c>
      <c r="C821" t="s">
        <v>3372</v>
      </c>
      <c r="F821" t="s">
        <v>1292</v>
      </c>
    </row>
    <row r="822" spans="1:6" x14ac:dyDescent="0.15">
      <c r="A822" t="s">
        <v>4005</v>
      </c>
      <c r="C822" t="s">
        <v>3373</v>
      </c>
      <c r="F822" t="s">
        <v>1293</v>
      </c>
    </row>
    <row r="823" spans="1:6" x14ac:dyDescent="0.15">
      <c r="A823" t="s">
        <v>2465</v>
      </c>
      <c r="C823" t="s">
        <v>900</v>
      </c>
      <c r="F823" t="s">
        <v>1294</v>
      </c>
    </row>
    <row r="824" spans="1:6" x14ac:dyDescent="0.15">
      <c r="A824" t="s">
        <v>4006</v>
      </c>
      <c r="C824" t="s">
        <v>3374</v>
      </c>
      <c r="F824" t="s">
        <v>1295</v>
      </c>
    </row>
    <row r="825" spans="1:6" x14ac:dyDescent="0.15">
      <c r="A825" t="s">
        <v>4007</v>
      </c>
      <c r="C825" t="s">
        <v>3375</v>
      </c>
      <c r="F825" t="s">
        <v>1296</v>
      </c>
    </row>
    <row r="826" spans="1:6" x14ac:dyDescent="0.15">
      <c r="A826" t="s">
        <v>81</v>
      </c>
      <c r="C826" t="s">
        <v>3376</v>
      </c>
      <c r="F826" t="s">
        <v>1297</v>
      </c>
    </row>
    <row r="827" spans="1:6" x14ac:dyDescent="0.15">
      <c r="A827" t="s">
        <v>4008</v>
      </c>
      <c r="C827" t="s">
        <v>3377</v>
      </c>
      <c r="F827" t="s">
        <v>1298</v>
      </c>
    </row>
    <row r="828" spans="1:6" x14ac:dyDescent="0.15">
      <c r="A828" t="s">
        <v>4009</v>
      </c>
      <c r="C828" t="s">
        <v>3378</v>
      </c>
      <c r="F828" t="s">
        <v>1299</v>
      </c>
    </row>
    <row r="829" spans="1:6" x14ac:dyDescent="0.15">
      <c r="A829" t="s">
        <v>211</v>
      </c>
      <c r="C829" t="s">
        <v>117</v>
      </c>
      <c r="F829" t="s">
        <v>1300</v>
      </c>
    </row>
    <row r="830" spans="1:6" x14ac:dyDescent="0.15">
      <c r="A830" t="s">
        <v>85</v>
      </c>
      <c r="C830" t="s">
        <v>3379</v>
      </c>
      <c r="F830" t="s">
        <v>1301</v>
      </c>
    </row>
    <row r="831" spans="1:6" x14ac:dyDescent="0.15">
      <c r="A831" t="s">
        <v>4010</v>
      </c>
      <c r="C831" t="s">
        <v>3380</v>
      </c>
      <c r="F831" t="s">
        <v>1302</v>
      </c>
    </row>
    <row r="832" spans="1:6" x14ac:dyDescent="0.15">
      <c r="A832" t="s">
        <v>2649</v>
      </c>
      <c r="C832" t="s">
        <v>3381</v>
      </c>
      <c r="F832" t="s">
        <v>1303</v>
      </c>
    </row>
    <row r="833" spans="1:6" x14ac:dyDescent="0.15">
      <c r="A833" t="s">
        <v>4011</v>
      </c>
      <c r="C833" t="s">
        <v>3382</v>
      </c>
      <c r="F833" t="s">
        <v>1304</v>
      </c>
    </row>
    <row r="834" spans="1:6" x14ac:dyDescent="0.15">
      <c r="A834" t="s">
        <v>4012</v>
      </c>
      <c r="C834" t="s">
        <v>3383</v>
      </c>
      <c r="F834" t="s">
        <v>1305</v>
      </c>
    </row>
    <row r="835" spans="1:6" x14ac:dyDescent="0.15">
      <c r="A835" t="s">
        <v>1740</v>
      </c>
      <c r="C835" t="s">
        <v>3384</v>
      </c>
      <c r="F835" t="s">
        <v>1306</v>
      </c>
    </row>
    <row r="836" spans="1:6" x14ac:dyDescent="0.15">
      <c r="A836" t="s">
        <v>4013</v>
      </c>
      <c r="C836" t="s">
        <v>3385</v>
      </c>
      <c r="F836" t="s">
        <v>1307</v>
      </c>
    </row>
    <row r="837" spans="1:6" x14ac:dyDescent="0.15">
      <c r="A837" t="s">
        <v>219</v>
      </c>
      <c r="C837" t="s">
        <v>3386</v>
      </c>
      <c r="F837" t="s">
        <v>1308</v>
      </c>
    </row>
    <row r="838" spans="1:6" x14ac:dyDescent="0.15">
      <c r="A838" t="s">
        <v>612</v>
      </c>
      <c r="C838" t="s">
        <v>3387</v>
      </c>
      <c r="F838" t="s">
        <v>1309</v>
      </c>
    </row>
    <row r="839" spans="1:6" x14ac:dyDescent="0.15">
      <c r="A839" t="s">
        <v>4014</v>
      </c>
      <c r="C839" t="s">
        <v>3388</v>
      </c>
      <c r="F839" t="s">
        <v>1310</v>
      </c>
    </row>
    <row r="840" spans="1:6" x14ac:dyDescent="0.15">
      <c r="A840" t="s">
        <v>4015</v>
      </c>
      <c r="C840" t="s">
        <v>3389</v>
      </c>
      <c r="F840" t="s">
        <v>1311</v>
      </c>
    </row>
    <row r="841" spans="1:6" x14ac:dyDescent="0.15">
      <c r="A841" t="s">
        <v>4016</v>
      </c>
      <c r="C841" t="s">
        <v>3390</v>
      </c>
      <c r="F841" t="s">
        <v>1312</v>
      </c>
    </row>
    <row r="842" spans="1:6" x14ac:dyDescent="0.15">
      <c r="A842" t="s">
        <v>1173</v>
      </c>
      <c r="C842" t="s">
        <v>3391</v>
      </c>
      <c r="F842" t="s">
        <v>1313</v>
      </c>
    </row>
    <row r="843" spans="1:6" x14ac:dyDescent="0.15">
      <c r="A843" t="s">
        <v>4017</v>
      </c>
      <c r="C843" t="s">
        <v>2104</v>
      </c>
      <c r="F843" t="s">
        <v>1314</v>
      </c>
    </row>
    <row r="844" spans="1:6" x14ac:dyDescent="0.15">
      <c r="A844" t="s">
        <v>1324</v>
      </c>
      <c r="C844" t="s">
        <v>1104</v>
      </c>
      <c r="F844" t="s">
        <v>1315</v>
      </c>
    </row>
    <row r="845" spans="1:6" x14ac:dyDescent="0.15">
      <c r="A845" t="s">
        <v>13</v>
      </c>
      <c r="C845" t="s">
        <v>3392</v>
      </c>
      <c r="F845" t="s">
        <v>1316</v>
      </c>
    </row>
    <row r="846" spans="1:6" x14ac:dyDescent="0.15">
      <c r="A846" t="s">
        <v>4018</v>
      </c>
      <c r="C846" t="s">
        <v>3393</v>
      </c>
      <c r="F846" t="s">
        <v>1317</v>
      </c>
    </row>
    <row r="847" spans="1:6" x14ac:dyDescent="0.15">
      <c r="A847" t="s">
        <v>4019</v>
      </c>
      <c r="C847" t="s">
        <v>3394</v>
      </c>
      <c r="F847" t="s">
        <v>1318</v>
      </c>
    </row>
    <row r="848" spans="1:6" x14ac:dyDescent="0.15">
      <c r="A848" t="s">
        <v>4020</v>
      </c>
      <c r="C848" t="s">
        <v>3395</v>
      </c>
      <c r="F848" t="s">
        <v>1319</v>
      </c>
    </row>
    <row r="849" spans="1:6" x14ac:dyDescent="0.15">
      <c r="A849" t="s">
        <v>4021</v>
      </c>
      <c r="C849" t="s">
        <v>3396</v>
      </c>
      <c r="F849" t="s">
        <v>26</v>
      </c>
    </row>
    <row r="850" spans="1:6" x14ac:dyDescent="0.15">
      <c r="A850" t="s">
        <v>4022</v>
      </c>
      <c r="C850" t="s">
        <v>3397</v>
      </c>
      <c r="F850" t="s">
        <v>1320</v>
      </c>
    </row>
    <row r="851" spans="1:6" x14ac:dyDescent="0.15">
      <c r="A851" t="s">
        <v>2173</v>
      </c>
      <c r="C851" t="s">
        <v>3398</v>
      </c>
      <c r="F851" t="s">
        <v>1321</v>
      </c>
    </row>
    <row r="852" spans="1:6" x14ac:dyDescent="0.15">
      <c r="A852" t="s">
        <v>4023</v>
      </c>
      <c r="C852" t="s">
        <v>3399</v>
      </c>
      <c r="F852" t="s">
        <v>1322</v>
      </c>
    </row>
    <row r="853" spans="1:6" x14ac:dyDescent="0.15">
      <c r="A853" t="s">
        <v>4024</v>
      </c>
      <c r="C853" t="s">
        <v>3400</v>
      </c>
      <c r="F853" t="s">
        <v>1323</v>
      </c>
    </row>
    <row r="854" spans="1:6" x14ac:dyDescent="0.15">
      <c r="A854" t="s">
        <v>1143</v>
      </c>
      <c r="C854" t="s">
        <v>3401</v>
      </c>
      <c r="F854" t="s">
        <v>1324</v>
      </c>
    </row>
    <row r="855" spans="1:6" x14ac:dyDescent="0.15">
      <c r="A855" t="s">
        <v>1338</v>
      </c>
      <c r="C855" t="s">
        <v>3402</v>
      </c>
      <c r="F855" t="s">
        <v>1325</v>
      </c>
    </row>
    <row r="856" spans="1:6" x14ac:dyDescent="0.15">
      <c r="A856" t="s">
        <v>4025</v>
      </c>
      <c r="C856" t="s">
        <v>3403</v>
      </c>
      <c r="F856" t="s">
        <v>1326</v>
      </c>
    </row>
    <row r="857" spans="1:6" x14ac:dyDescent="0.15">
      <c r="A857" t="s">
        <v>4026</v>
      </c>
      <c r="C857" t="s">
        <v>1155</v>
      </c>
      <c r="F857" t="s">
        <v>1327</v>
      </c>
    </row>
    <row r="858" spans="1:6" x14ac:dyDescent="0.15">
      <c r="A858" t="s">
        <v>1781</v>
      </c>
      <c r="C858" t="s">
        <v>3404</v>
      </c>
      <c r="F858" t="s">
        <v>1328</v>
      </c>
    </row>
    <row r="859" spans="1:6" x14ac:dyDescent="0.15">
      <c r="A859" t="s">
        <v>4027</v>
      </c>
      <c r="C859" t="s">
        <v>3405</v>
      </c>
      <c r="F859" t="s">
        <v>1329</v>
      </c>
    </row>
    <row r="860" spans="1:6" x14ac:dyDescent="0.15">
      <c r="A860" t="s">
        <v>4028</v>
      </c>
      <c r="C860" t="s">
        <v>3406</v>
      </c>
      <c r="F860" t="s">
        <v>1330</v>
      </c>
    </row>
    <row r="861" spans="1:6" x14ac:dyDescent="0.15">
      <c r="A861" t="s">
        <v>4029</v>
      </c>
      <c r="C861" t="s">
        <v>3407</v>
      </c>
      <c r="F861" t="s">
        <v>1331</v>
      </c>
    </row>
    <row r="862" spans="1:6" x14ac:dyDescent="0.15">
      <c r="A862" t="s">
        <v>4030</v>
      </c>
      <c r="C862" t="s">
        <v>3408</v>
      </c>
      <c r="F862" t="s">
        <v>1332</v>
      </c>
    </row>
    <row r="863" spans="1:6" x14ac:dyDescent="0.15">
      <c r="A863" t="s">
        <v>4031</v>
      </c>
      <c r="C863" t="s">
        <v>3409</v>
      </c>
      <c r="F863" t="s">
        <v>1333</v>
      </c>
    </row>
    <row r="864" spans="1:6" x14ac:dyDescent="0.15">
      <c r="A864" t="s">
        <v>4032</v>
      </c>
      <c r="C864" t="s">
        <v>3410</v>
      </c>
      <c r="F864" t="s">
        <v>1334</v>
      </c>
    </row>
    <row r="865" spans="1:6" x14ac:dyDescent="0.15">
      <c r="A865" t="s">
        <v>1637</v>
      </c>
      <c r="C865" t="s">
        <v>3411</v>
      </c>
      <c r="F865" t="s">
        <v>183</v>
      </c>
    </row>
    <row r="866" spans="1:6" x14ac:dyDescent="0.15">
      <c r="A866" t="s">
        <v>43</v>
      </c>
      <c r="C866" t="s">
        <v>1020</v>
      </c>
      <c r="F866" t="s">
        <v>1335</v>
      </c>
    </row>
    <row r="867" spans="1:6" x14ac:dyDescent="0.15">
      <c r="A867" t="s">
        <v>4033</v>
      </c>
      <c r="C867" t="s">
        <v>3412</v>
      </c>
      <c r="F867" t="s">
        <v>1336</v>
      </c>
    </row>
    <row r="868" spans="1:6" x14ac:dyDescent="0.15">
      <c r="A868" t="s">
        <v>4034</v>
      </c>
      <c r="C868" t="s">
        <v>3413</v>
      </c>
      <c r="F868" t="s">
        <v>1337</v>
      </c>
    </row>
    <row r="869" spans="1:6" x14ac:dyDescent="0.15">
      <c r="A869" t="s">
        <v>4035</v>
      </c>
      <c r="C869" t="s">
        <v>3414</v>
      </c>
      <c r="F869" t="s">
        <v>1338</v>
      </c>
    </row>
    <row r="870" spans="1:6" x14ac:dyDescent="0.15">
      <c r="A870" t="s">
        <v>4036</v>
      </c>
      <c r="C870" t="s">
        <v>3415</v>
      </c>
      <c r="F870" t="s">
        <v>1339</v>
      </c>
    </row>
    <row r="871" spans="1:6" x14ac:dyDescent="0.15">
      <c r="A871" t="s">
        <v>4037</v>
      </c>
      <c r="C871" t="s">
        <v>3416</v>
      </c>
      <c r="F871" t="s">
        <v>1340</v>
      </c>
    </row>
    <row r="872" spans="1:6" x14ac:dyDescent="0.15">
      <c r="A872" t="s">
        <v>4038</v>
      </c>
      <c r="C872" t="s">
        <v>1908</v>
      </c>
      <c r="F872" t="s">
        <v>1341</v>
      </c>
    </row>
    <row r="873" spans="1:6" x14ac:dyDescent="0.15">
      <c r="A873" t="s">
        <v>1990</v>
      </c>
      <c r="C873" t="s">
        <v>3417</v>
      </c>
      <c r="F873" t="s">
        <v>1342</v>
      </c>
    </row>
    <row r="874" spans="1:6" x14ac:dyDescent="0.15">
      <c r="A874" t="s">
        <v>4039</v>
      </c>
      <c r="C874" t="s">
        <v>3418</v>
      </c>
      <c r="F874" t="s">
        <v>1343</v>
      </c>
    </row>
    <row r="875" spans="1:6" x14ac:dyDescent="0.15">
      <c r="A875" t="s">
        <v>4040</v>
      </c>
      <c r="C875" t="s">
        <v>3419</v>
      </c>
      <c r="F875" t="s">
        <v>1344</v>
      </c>
    </row>
    <row r="876" spans="1:6" x14ac:dyDescent="0.15">
      <c r="A876" t="s">
        <v>4041</v>
      </c>
      <c r="C876" t="s">
        <v>3420</v>
      </c>
      <c r="F876" t="s">
        <v>1345</v>
      </c>
    </row>
    <row r="877" spans="1:6" x14ac:dyDescent="0.15">
      <c r="A877" t="s">
        <v>233</v>
      </c>
      <c r="C877" t="s">
        <v>3421</v>
      </c>
      <c r="F877" t="s">
        <v>1346</v>
      </c>
    </row>
    <row r="878" spans="1:6" x14ac:dyDescent="0.15">
      <c r="A878" t="s">
        <v>1658</v>
      </c>
      <c r="C878" t="s">
        <v>3422</v>
      </c>
      <c r="F878" t="s">
        <v>1347</v>
      </c>
    </row>
    <row r="879" spans="1:6" x14ac:dyDescent="0.15">
      <c r="A879" t="s">
        <v>4042</v>
      </c>
      <c r="C879" t="s">
        <v>3423</v>
      </c>
      <c r="F879" t="s">
        <v>1348</v>
      </c>
    </row>
    <row r="880" spans="1:6" x14ac:dyDescent="0.15">
      <c r="A880" t="s">
        <v>4043</v>
      </c>
      <c r="C880" t="s">
        <v>3424</v>
      </c>
      <c r="F880" t="s">
        <v>1349</v>
      </c>
    </row>
    <row r="881" spans="1:6" x14ac:dyDescent="0.15">
      <c r="A881" t="s">
        <v>4044</v>
      </c>
      <c r="C881" t="s">
        <v>3425</v>
      </c>
      <c r="F881" t="s">
        <v>1350</v>
      </c>
    </row>
    <row r="882" spans="1:6" x14ac:dyDescent="0.15">
      <c r="A882" t="s">
        <v>4045</v>
      </c>
      <c r="C882" t="s">
        <v>3426</v>
      </c>
      <c r="F882" t="s">
        <v>1351</v>
      </c>
    </row>
    <row r="883" spans="1:6" x14ac:dyDescent="0.15">
      <c r="A883" t="s">
        <v>2571</v>
      </c>
      <c r="C883" t="s">
        <v>3427</v>
      </c>
      <c r="F883" t="s">
        <v>1352</v>
      </c>
    </row>
    <row r="884" spans="1:6" x14ac:dyDescent="0.15">
      <c r="A884" t="s">
        <v>4046</v>
      </c>
      <c r="C884" t="s">
        <v>1023</v>
      </c>
      <c r="F884" t="s">
        <v>1353</v>
      </c>
    </row>
    <row r="885" spans="1:6" x14ac:dyDescent="0.15">
      <c r="A885" t="s">
        <v>4047</v>
      </c>
      <c r="C885" t="s">
        <v>3428</v>
      </c>
      <c r="F885" t="s">
        <v>1354</v>
      </c>
    </row>
    <row r="886" spans="1:6" x14ac:dyDescent="0.15">
      <c r="A886" t="s">
        <v>1574</v>
      </c>
      <c r="C886" t="s">
        <v>3429</v>
      </c>
      <c r="F886" t="s">
        <v>1355</v>
      </c>
    </row>
    <row r="887" spans="1:6" x14ac:dyDescent="0.15">
      <c r="A887" t="s">
        <v>4048</v>
      </c>
      <c r="C887" t="s">
        <v>3430</v>
      </c>
      <c r="F887" t="s">
        <v>1356</v>
      </c>
    </row>
    <row r="888" spans="1:6" x14ac:dyDescent="0.15">
      <c r="A888" t="s">
        <v>4049</v>
      </c>
      <c r="C888" t="s">
        <v>3431</v>
      </c>
      <c r="F888" t="s">
        <v>1357</v>
      </c>
    </row>
    <row r="889" spans="1:6" x14ac:dyDescent="0.15">
      <c r="A889" t="s">
        <v>10</v>
      </c>
      <c r="C889" t="s">
        <v>3432</v>
      </c>
      <c r="F889" t="s">
        <v>1358</v>
      </c>
    </row>
    <row r="890" spans="1:6" x14ac:dyDescent="0.15">
      <c r="A890" t="s">
        <v>4050</v>
      </c>
      <c r="C890" t="s">
        <v>3433</v>
      </c>
      <c r="F890" t="s">
        <v>1359</v>
      </c>
    </row>
    <row r="891" spans="1:6" x14ac:dyDescent="0.15">
      <c r="A891" t="s">
        <v>4051</v>
      </c>
      <c r="C891" t="s">
        <v>3434</v>
      </c>
      <c r="F891" t="s">
        <v>1360</v>
      </c>
    </row>
    <row r="892" spans="1:6" x14ac:dyDescent="0.15">
      <c r="A892" t="s">
        <v>4052</v>
      </c>
      <c r="C892" t="s">
        <v>3435</v>
      </c>
      <c r="F892" t="s">
        <v>1361</v>
      </c>
    </row>
    <row r="893" spans="1:6" x14ac:dyDescent="0.15">
      <c r="A893" t="s">
        <v>4053</v>
      </c>
      <c r="C893" t="s">
        <v>3436</v>
      </c>
      <c r="F893" t="s">
        <v>1362</v>
      </c>
    </row>
    <row r="894" spans="1:6" x14ac:dyDescent="0.15">
      <c r="A894" t="s">
        <v>342</v>
      </c>
      <c r="C894" t="s">
        <v>3437</v>
      </c>
      <c r="F894" t="s">
        <v>1363</v>
      </c>
    </row>
    <row r="895" spans="1:6" x14ac:dyDescent="0.15">
      <c r="A895" t="s">
        <v>4054</v>
      </c>
      <c r="C895" t="s">
        <v>3438</v>
      </c>
      <c r="F895" t="s">
        <v>170</v>
      </c>
    </row>
    <row r="896" spans="1:6" x14ac:dyDescent="0.15">
      <c r="A896" t="s">
        <v>4055</v>
      </c>
      <c r="C896" t="s">
        <v>3439</v>
      </c>
      <c r="F896" t="s">
        <v>1364</v>
      </c>
    </row>
    <row r="897" spans="1:6" x14ac:dyDescent="0.15">
      <c r="A897" t="s">
        <v>2681</v>
      </c>
      <c r="C897" t="s">
        <v>3440</v>
      </c>
      <c r="F897" t="s">
        <v>1365</v>
      </c>
    </row>
    <row r="898" spans="1:6" x14ac:dyDescent="0.15">
      <c r="A898" t="s">
        <v>4056</v>
      </c>
      <c r="C898" t="s">
        <v>3441</v>
      </c>
      <c r="F898" t="s">
        <v>1366</v>
      </c>
    </row>
    <row r="899" spans="1:6" x14ac:dyDescent="0.15">
      <c r="A899" t="s">
        <v>751</v>
      </c>
      <c r="C899" t="s">
        <v>3442</v>
      </c>
      <c r="F899" t="s">
        <v>1367</v>
      </c>
    </row>
    <row r="900" spans="1:6" x14ac:dyDescent="0.15">
      <c r="A900" t="s">
        <v>4057</v>
      </c>
      <c r="C900" t="s">
        <v>3443</v>
      </c>
      <c r="F900" t="s">
        <v>1368</v>
      </c>
    </row>
    <row r="901" spans="1:6" x14ac:dyDescent="0.15">
      <c r="A901" t="s">
        <v>4058</v>
      </c>
      <c r="C901" t="s">
        <v>3444</v>
      </c>
      <c r="F901" t="s">
        <v>1369</v>
      </c>
    </row>
    <row r="902" spans="1:6" x14ac:dyDescent="0.15">
      <c r="A902" t="s">
        <v>4059</v>
      </c>
      <c r="C902" t="s">
        <v>3445</v>
      </c>
      <c r="F902" t="s">
        <v>1370</v>
      </c>
    </row>
    <row r="903" spans="1:6" x14ac:dyDescent="0.15">
      <c r="A903" t="s">
        <v>4060</v>
      </c>
      <c r="C903" t="s">
        <v>3446</v>
      </c>
      <c r="F903" t="s">
        <v>1371</v>
      </c>
    </row>
    <row r="904" spans="1:6" x14ac:dyDescent="0.15">
      <c r="A904" t="s">
        <v>1359</v>
      </c>
      <c r="C904" t="s">
        <v>3447</v>
      </c>
      <c r="F904" t="s">
        <v>1372</v>
      </c>
    </row>
    <row r="905" spans="1:6" x14ac:dyDescent="0.15">
      <c r="A905" t="s">
        <v>4061</v>
      </c>
      <c r="C905" t="s">
        <v>3448</v>
      </c>
      <c r="F905" t="s">
        <v>1373</v>
      </c>
    </row>
    <row r="906" spans="1:6" x14ac:dyDescent="0.15">
      <c r="A906" t="s">
        <v>4062</v>
      </c>
      <c r="C906" t="s">
        <v>3449</v>
      </c>
      <c r="F906" t="s">
        <v>1374</v>
      </c>
    </row>
    <row r="907" spans="1:6" x14ac:dyDescent="0.15">
      <c r="A907" t="s">
        <v>4063</v>
      </c>
      <c r="C907" t="s">
        <v>3450</v>
      </c>
      <c r="F907" t="s">
        <v>1375</v>
      </c>
    </row>
    <row r="908" spans="1:6" x14ac:dyDescent="0.15">
      <c r="A908" t="s">
        <v>4064</v>
      </c>
      <c r="C908" t="s">
        <v>3451</v>
      </c>
      <c r="F908" t="s">
        <v>1376</v>
      </c>
    </row>
    <row r="909" spans="1:6" x14ac:dyDescent="0.15">
      <c r="A909" t="s">
        <v>4065</v>
      </c>
      <c r="C909" t="s">
        <v>3452</v>
      </c>
      <c r="F909" t="s">
        <v>1377</v>
      </c>
    </row>
    <row r="910" spans="1:6" x14ac:dyDescent="0.15">
      <c r="A910" t="s">
        <v>224</v>
      </c>
      <c r="C910" t="s">
        <v>3453</v>
      </c>
      <c r="F910" t="s">
        <v>1378</v>
      </c>
    </row>
    <row r="911" spans="1:6" x14ac:dyDescent="0.15">
      <c r="A911" t="s">
        <v>4066</v>
      </c>
      <c r="C911" t="s">
        <v>3454</v>
      </c>
      <c r="F911" t="s">
        <v>1379</v>
      </c>
    </row>
    <row r="912" spans="1:6" x14ac:dyDescent="0.15">
      <c r="A912" t="s">
        <v>4067</v>
      </c>
      <c r="C912" t="s">
        <v>3455</v>
      </c>
      <c r="F912" t="s">
        <v>1380</v>
      </c>
    </row>
    <row r="913" spans="1:6" x14ac:dyDescent="0.15">
      <c r="A913" t="s">
        <v>4068</v>
      </c>
      <c r="C913" t="s">
        <v>3456</v>
      </c>
      <c r="F913" t="s">
        <v>1381</v>
      </c>
    </row>
    <row r="914" spans="1:6" x14ac:dyDescent="0.15">
      <c r="A914" t="s">
        <v>4069</v>
      </c>
      <c r="C914" t="s">
        <v>3457</v>
      </c>
      <c r="F914" t="s">
        <v>1382</v>
      </c>
    </row>
    <row r="915" spans="1:6" x14ac:dyDescent="0.15">
      <c r="A915" t="s">
        <v>4070</v>
      </c>
      <c r="C915" t="s">
        <v>3458</v>
      </c>
      <c r="F915" t="s">
        <v>1383</v>
      </c>
    </row>
    <row r="916" spans="1:6" x14ac:dyDescent="0.15">
      <c r="A916" t="s">
        <v>4071</v>
      </c>
      <c r="C916" t="s">
        <v>3459</v>
      </c>
      <c r="F916" t="s">
        <v>1384</v>
      </c>
    </row>
    <row r="917" spans="1:6" x14ac:dyDescent="0.15">
      <c r="A917" t="s">
        <v>4072</v>
      </c>
      <c r="C917" t="s">
        <v>3460</v>
      </c>
      <c r="F917" t="s">
        <v>1385</v>
      </c>
    </row>
    <row r="918" spans="1:6" x14ac:dyDescent="0.15">
      <c r="A918" t="s">
        <v>4073</v>
      </c>
      <c r="C918" t="s">
        <v>3461</v>
      </c>
      <c r="F918" t="s">
        <v>1386</v>
      </c>
    </row>
    <row r="919" spans="1:6" x14ac:dyDescent="0.15">
      <c r="A919" t="s">
        <v>102</v>
      </c>
      <c r="C919" t="s">
        <v>3462</v>
      </c>
      <c r="F919" t="s">
        <v>1387</v>
      </c>
    </row>
    <row r="920" spans="1:6" x14ac:dyDescent="0.15">
      <c r="A920" t="s">
        <v>4074</v>
      </c>
      <c r="C920" t="s">
        <v>3463</v>
      </c>
      <c r="F920" t="s">
        <v>18</v>
      </c>
    </row>
    <row r="921" spans="1:6" x14ac:dyDescent="0.15">
      <c r="A921" t="s">
        <v>2361</v>
      </c>
      <c r="C921" t="s">
        <v>2282</v>
      </c>
      <c r="F921" t="s">
        <v>1388</v>
      </c>
    </row>
    <row r="922" spans="1:6" x14ac:dyDescent="0.15">
      <c r="A922" t="s">
        <v>4075</v>
      </c>
      <c r="C922" t="s">
        <v>3464</v>
      </c>
      <c r="F922" t="s">
        <v>1389</v>
      </c>
    </row>
    <row r="923" spans="1:6" x14ac:dyDescent="0.15">
      <c r="A923" t="s">
        <v>4076</v>
      </c>
      <c r="C923" t="s">
        <v>3465</v>
      </c>
      <c r="F923" t="s">
        <v>1390</v>
      </c>
    </row>
    <row r="924" spans="1:6" x14ac:dyDescent="0.15">
      <c r="A924" t="s">
        <v>4077</v>
      </c>
      <c r="C924" t="s">
        <v>3466</v>
      </c>
      <c r="F924" t="s">
        <v>106</v>
      </c>
    </row>
    <row r="925" spans="1:6" x14ac:dyDescent="0.15">
      <c r="A925" t="s">
        <v>411</v>
      </c>
      <c r="C925" t="s">
        <v>3467</v>
      </c>
      <c r="F925" t="s">
        <v>1391</v>
      </c>
    </row>
    <row r="926" spans="1:6" x14ac:dyDescent="0.15">
      <c r="A926" t="s">
        <v>1857</v>
      </c>
      <c r="C926" t="s">
        <v>3468</v>
      </c>
      <c r="F926" t="s">
        <v>30</v>
      </c>
    </row>
    <row r="927" spans="1:6" x14ac:dyDescent="0.15">
      <c r="A927" t="s">
        <v>4078</v>
      </c>
      <c r="C927" t="s">
        <v>3469</v>
      </c>
      <c r="F927" t="s">
        <v>1392</v>
      </c>
    </row>
    <row r="928" spans="1:6" x14ac:dyDescent="0.15">
      <c r="A928" t="s">
        <v>4079</v>
      </c>
      <c r="C928" t="s">
        <v>3470</v>
      </c>
      <c r="F928" t="s">
        <v>143</v>
      </c>
    </row>
    <row r="929" spans="1:6" x14ac:dyDescent="0.15">
      <c r="A929" t="s">
        <v>4080</v>
      </c>
      <c r="C929" t="s">
        <v>3471</v>
      </c>
      <c r="F929" t="s">
        <v>196</v>
      </c>
    </row>
    <row r="930" spans="1:6" x14ac:dyDescent="0.15">
      <c r="A930" t="s">
        <v>4081</v>
      </c>
      <c r="C930" t="s">
        <v>3472</v>
      </c>
      <c r="F930" t="s">
        <v>1393</v>
      </c>
    </row>
    <row r="931" spans="1:6" x14ac:dyDescent="0.15">
      <c r="A931" t="s">
        <v>4082</v>
      </c>
      <c r="C931" t="s">
        <v>3473</v>
      </c>
      <c r="F931" t="s">
        <v>1394</v>
      </c>
    </row>
    <row r="932" spans="1:6" x14ac:dyDescent="0.15">
      <c r="A932" t="s">
        <v>4083</v>
      </c>
      <c r="C932" t="s">
        <v>3474</v>
      </c>
      <c r="F932" t="s">
        <v>1395</v>
      </c>
    </row>
    <row r="933" spans="1:6" x14ac:dyDescent="0.15">
      <c r="A933" t="s">
        <v>4084</v>
      </c>
      <c r="C933" t="s">
        <v>3475</v>
      </c>
      <c r="F933" t="s">
        <v>1396</v>
      </c>
    </row>
    <row r="934" spans="1:6" x14ac:dyDescent="0.15">
      <c r="A934" t="s">
        <v>4085</v>
      </c>
      <c r="C934" t="s">
        <v>960</v>
      </c>
      <c r="F934" t="s">
        <v>1397</v>
      </c>
    </row>
    <row r="935" spans="1:6" x14ac:dyDescent="0.15">
      <c r="A935" t="s">
        <v>4086</v>
      </c>
      <c r="C935" t="s">
        <v>3476</v>
      </c>
      <c r="F935" t="s">
        <v>1398</v>
      </c>
    </row>
    <row r="936" spans="1:6" x14ac:dyDescent="0.15">
      <c r="A936" t="s">
        <v>4087</v>
      </c>
      <c r="C936" t="s">
        <v>3477</v>
      </c>
      <c r="F936" t="s">
        <v>1399</v>
      </c>
    </row>
    <row r="937" spans="1:6" x14ac:dyDescent="0.15">
      <c r="A937" t="s">
        <v>221</v>
      </c>
      <c r="C937" t="s">
        <v>3478</v>
      </c>
      <c r="F937" t="s">
        <v>1400</v>
      </c>
    </row>
    <row r="938" spans="1:6" x14ac:dyDescent="0.15">
      <c r="A938" t="s">
        <v>4088</v>
      </c>
      <c r="C938" t="s">
        <v>3479</v>
      </c>
      <c r="F938" t="s">
        <v>1401</v>
      </c>
    </row>
    <row r="939" spans="1:6" x14ac:dyDescent="0.15">
      <c r="A939" t="s">
        <v>4089</v>
      </c>
      <c r="C939" t="s">
        <v>3480</v>
      </c>
      <c r="F939" t="s">
        <v>1402</v>
      </c>
    </row>
    <row r="940" spans="1:6" x14ac:dyDescent="0.15">
      <c r="A940" t="s">
        <v>4090</v>
      </c>
      <c r="C940" t="s">
        <v>3481</v>
      </c>
      <c r="F940" t="s">
        <v>1403</v>
      </c>
    </row>
    <row r="941" spans="1:6" x14ac:dyDescent="0.15">
      <c r="A941" t="s">
        <v>4091</v>
      </c>
      <c r="C941" t="s">
        <v>3482</v>
      </c>
      <c r="F941" t="s">
        <v>1404</v>
      </c>
    </row>
    <row r="942" spans="1:6" x14ac:dyDescent="0.15">
      <c r="A942" t="s">
        <v>4092</v>
      </c>
      <c r="C942" t="s">
        <v>3483</v>
      </c>
      <c r="F942" t="s">
        <v>58</v>
      </c>
    </row>
    <row r="943" spans="1:6" x14ac:dyDescent="0.15">
      <c r="A943" t="s">
        <v>4093</v>
      </c>
      <c r="C943" t="s">
        <v>3484</v>
      </c>
      <c r="F943" t="s">
        <v>1405</v>
      </c>
    </row>
    <row r="944" spans="1:6" x14ac:dyDescent="0.15">
      <c r="A944" t="s">
        <v>4094</v>
      </c>
      <c r="C944" t="s">
        <v>3485</v>
      </c>
      <c r="F944" t="s">
        <v>1406</v>
      </c>
    </row>
    <row r="945" spans="1:6" x14ac:dyDescent="0.15">
      <c r="A945" t="s">
        <v>4095</v>
      </c>
      <c r="C945" t="s">
        <v>3486</v>
      </c>
      <c r="F945" t="s">
        <v>1407</v>
      </c>
    </row>
    <row r="946" spans="1:6" x14ac:dyDescent="0.15">
      <c r="A946" t="s">
        <v>4096</v>
      </c>
      <c r="C946" t="s">
        <v>3487</v>
      </c>
      <c r="F946" t="s">
        <v>8</v>
      </c>
    </row>
    <row r="947" spans="1:6" x14ac:dyDescent="0.15">
      <c r="A947" t="s">
        <v>1452</v>
      </c>
      <c r="C947" t="s">
        <v>865</v>
      </c>
      <c r="F947" t="s">
        <v>1408</v>
      </c>
    </row>
    <row r="948" spans="1:6" x14ac:dyDescent="0.15">
      <c r="A948" t="s">
        <v>1229</v>
      </c>
      <c r="C948" t="s">
        <v>3488</v>
      </c>
      <c r="F948" t="s">
        <v>1409</v>
      </c>
    </row>
    <row r="949" spans="1:6" x14ac:dyDescent="0.15">
      <c r="A949" t="s">
        <v>4097</v>
      </c>
      <c r="C949" t="s">
        <v>3489</v>
      </c>
      <c r="F949" t="s">
        <v>1410</v>
      </c>
    </row>
    <row r="950" spans="1:6" x14ac:dyDescent="0.15">
      <c r="A950" t="s">
        <v>4098</v>
      </c>
      <c r="C950" t="s">
        <v>3490</v>
      </c>
      <c r="F950" t="s">
        <v>1411</v>
      </c>
    </row>
    <row r="951" spans="1:6" x14ac:dyDescent="0.15">
      <c r="A951" t="s">
        <v>4099</v>
      </c>
      <c r="C951" t="s">
        <v>2720</v>
      </c>
      <c r="F951" t="s">
        <v>1412</v>
      </c>
    </row>
    <row r="952" spans="1:6" x14ac:dyDescent="0.15">
      <c r="A952" t="s">
        <v>212</v>
      </c>
      <c r="C952" t="s">
        <v>3491</v>
      </c>
      <c r="F952" t="s">
        <v>1413</v>
      </c>
    </row>
    <row r="953" spans="1:6" x14ac:dyDescent="0.15">
      <c r="A953" t="s">
        <v>1796</v>
      </c>
      <c r="C953" t="s">
        <v>3492</v>
      </c>
      <c r="F953" t="s">
        <v>1414</v>
      </c>
    </row>
    <row r="954" spans="1:6" x14ac:dyDescent="0.15">
      <c r="A954" t="s">
        <v>1071</v>
      </c>
      <c r="C954" t="s">
        <v>3493</v>
      </c>
      <c r="F954" t="s">
        <v>1415</v>
      </c>
    </row>
    <row r="955" spans="1:6" x14ac:dyDescent="0.15">
      <c r="A955" t="s">
        <v>2743</v>
      </c>
      <c r="C955" t="s">
        <v>3494</v>
      </c>
      <c r="F955" t="s">
        <v>1416</v>
      </c>
    </row>
    <row r="956" spans="1:6" x14ac:dyDescent="0.15">
      <c r="A956" t="s">
        <v>27</v>
      </c>
      <c r="C956" t="s">
        <v>3495</v>
      </c>
      <c r="F956" t="s">
        <v>1417</v>
      </c>
    </row>
    <row r="957" spans="1:6" x14ac:dyDescent="0.15">
      <c r="A957" t="s">
        <v>4100</v>
      </c>
      <c r="C957" t="s">
        <v>3496</v>
      </c>
      <c r="F957" t="s">
        <v>1418</v>
      </c>
    </row>
    <row r="958" spans="1:6" x14ac:dyDescent="0.15">
      <c r="A958" t="s">
        <v>4101</v>
      </c>
      <c r="C958" t="s">
        <v>164</v>
      </c>
      <c r="F958" t="s">
        <v>1419</v>
      </c>
    </row>
    <row r="959" spans="1:6" x14ac:dyDescent="0.15">
      <c r="A959" t="s">
        <v>4102</v>
      </c>
      <c r="C959" t="s">
        <v>3497</v>
      </c>
      <c r="F959" t="s">
        <v>1420</v>
      </c>
    </row>
    <row r="960" spans="1:6" x14ac:dyDescent="0.15">
      <c r="A960" t="s">
        <v>4103</v>
      </c>
      <c r="C960" t="s">
        <v>3498</v>
      </c>
      <c r="F960" t="s">
        <v>1421</v>
      </c>
    </row>
    <row r="961" spans="1:6" x14ac:dyDescent="0.15">
      <c r="A961" t="s">
        <v>4103</v>
      </c>
      <c r="C961" t="s">
        <v>3499</v>
      </c>
      <c r="F961" t="s">
        <v>1422</v>
      </c>
    </row>
    <row r="962" spans="1:6" x14ac:dyDescent="0.15">
      <c r="A962" t="s">
        <v>4103</v>
      </c>
      <c r="C962" t="s">
        <v>3500</v>
      </c>
      <c r="F962" t="s">
        <v>1423</v>
      </c>
    </row>
    <row r="963" spans="1:6" x14ac:dyDescent="0.15">
      <c r="A963" t="s">
        <v>4103</v>
      </c>
      <c r="C963" t="s">
        <v>3501</v>
      </c>
      <c r="F963" t="s">
        <v>1424</v>
      </c>
    </row>
    <row r="964" spans="1:6" x14ac:dyDescent="0.15">
      <c r="A964" t="s">
        <v>4103</v>
      </c>
      <c r="C964" t="s">
        <v>3502</v>
      </c>
      <c r="F964" t="s">
        <v>1425</v>
      </c>
    </row>
    <row r="965" spans="1:6" x14ac:dyDescent="0.15">
      <c r="A965" t="s">
        <v>4103</v>
      </c>
      <c r="C965" t="s">
        <v>3503</v>
      </c>
      <c r="F965" t="s">
        <v>882</v>
      </c>
    </row>
    <row r="966" spans="1:6" x14ac:dyDescent="0.15">
      <c r="A966" t="s">
        <v>4103</v>
      </c>
      <c r="C966" t="s">
        <v>3504</v>
      </c>
      <c r="F966" t="s">
        <v>1426</v>
      </c>
    </row>
    <row r="967" spans="1:6" x14ac:dyDescent="0.15">
      <c r="A967" t="s">
        <v>4103</v>
      </c>
      <c r="C967" t="s">
        <v>3505</v>
      </c>
      <c r="F967" t="s">
        <v>1427</v>
      </c>
    </row>
    <row r="968" spans="1:6" x14ac:dyDescent="0.15">
      <c r="A968" t="s">
        <v>4103</v>
      </c>
      <c r="C968" t="s">
        <v>3506</v>
      </c>
      <c r="F968" t="s">
        <v>1428</v>
      </c>
    </row>
    <row r="969" spans="1:6" x14ac:dyDescent="0.15">
      <c r="A969" t="s">
        <v>4103</v>
      </c>
      <c r="C969" t="s">
        <v>3507</v>
      </c>
      <c r="F969" t="s">
        <v>1429</v>
      </c>
    </row>
    <row r="970" spans="1:6" x14ac:dyDescent="0.15">
      <c r="A970" t="s">
        <v>4103</v>
      </c>
      <c r="C970" t="s">
        <v>3508</v>
      </c>
      <c r="F970" t="s">
        <v>1430</v>
      </c>
    </row>
    <row r="971" spans="1:6" x14ac:dyDescent="0.15">
      <c r="A971" t="s">
        <v>4103</v>
      </c>
      <c r="C971" t="s">
        <v>3509</v>
      </c>
      <c r="F971" t="s">
        <v>1020</v>
      </c>
    </row>
    <row r="972" spans="1:6" x14ac:dyDescent="0.15">
      <c r="A972" t="s">
        <v>4103</v>
      </c>
      <c r="C972" t="s">
        <v>1581</v>
      </c>
      <c r="F972" t="s">
        <v>1431</v>
      </c>
    </row>
    <row r="973" spans="1:6" x14ac:dyDescent="0.15">
      <c r="A973" t="s">
        <v>4103</v>
      </c>
      <c r="C973" t="s">
        <v>3510</v>
      </c>
      <c r="F973" t="s">
        <v>1432</v>
      </c>
    </row>
    <row r="974" spans="1:6" x14ac:dyDescent="0.15">
      <c r="A974" t="s">
        <v>4103</v>
      </c>
      <c r="C974" t="s">
        <v>3511</v>
      </c>
      <c r="F974" t="s">
        <v>1433</v>
      </c>
    </row>
    <row r="975" spans="1:6" x14ac:dyDescent="0.15">
      <c r="A975" t="s">
        <v>4103</v>
      </c>
      <c r="C975" t="s">
        <v>3512</v>
      </c>
      <c r="F975" t="s">
        <v>1434</v>
      </c>
    </row>
    <row r="976" spans="1:6" x14ac:dyDescent="0.15">
      <c r="A976" t="s">
        <v>4103</v>
      </c>
      <c r="C976" t="s">
        <v>864</v>
      </c>
      <c r="F976" t="s">
        <v>1435</v>
      </c>
    </row>
    <row r="977" spans="1:6" x14ac:dyDescent="0.15">
      <c r="A977" t="s">
        <v>4103</v>
      </c>
      <c r="C977" t="s">
        <v>3513</v>
      </c>
      <c r="F977" t="s">
        <v>1436</v>
      </c>
    </row>
    <row r="978" spans="1:6" x14ac:dyDescent="0.15">
      <c r="A978" t="s">
        <v>4103</v>
      </c>
      <c r="C978" t="s">
        <v>2005</v>
      </c>
      <c r="F978" t="s">
        <v>1437</v>
      </c>
    </row>
    <row r="979" spans="1:6" x14ac:dyDescent="0.15">
      <c r="A979" t="s">
        <v>4103</v>
      </c>
      <c r="C979" t="s">
        <v>3514</v>
      </c>
      <c r="F979" t="s">
        <v>1438</v>
      </c>
    </row>
    <row r="980" spans="1:6" x14ac:dyDescent="0.15">
      <c r="A980" t="s">
        <v>4103</v>
      </c>
      <c r="C980" t="s">
        <v>3515</v>
      </c>
      <c r="F980" t="s">
        <v>1439</v>
      </c>
    </row>
    <row r="981" spans="1:6" x14ac:dyDescent="0.15">
      <c r="A981" t="s">
        <v>4103</v>
      </c>
      <c r="C981" t="s">
        <v>3516</v>
      </c>
      <c r="F981" t="s">
        <v>1440</v>
      </c>
    </row>
    <row r="982" spans="1:6" x14ac:dyDescent="0.15">
      <c r="A982" t="s">
        <v>4103</v>
      </c>
      <c r="C982" t="s">
        <v>3517</v>
      </c>
      <c r="F982" t="s">
        <v>1441</v>
      </c>
    </row>
    <row r="983" spans="1:6" x14ac:dyDescent="0.15">
      <c r="A983" t="s">
        <v>4103</v>
      </c>
      <c r="C983" t="s">
        <v>3518</v>
      </c>
      <c r="F983" t="s">
        <v>1442</v>
      </c>
    </row>
    <row r="984" spans="1:6" x14ac:dyDescent="0.15">
      <c r="A984" t="s">
        <v>4103</v>
      </c>
      <c r="C984" t="s">
        <v>3519</v>
      </c>
      <c r="F984" t="s">
        <v>1443</v>
      </c>
    </row>
    <row r="985" spans="1:6" x14ac:dyDescent="0.15">
      <c r="A985" t="s">
        <v>4103</v>
      </c>
      <c r="C985" t="s">
        <v>3520</v>
      </c>
      <c r="F985" t="s">
        <v>1444</v>
      </c>
    </row>
    <row r="986" spans="1:6" x14ac:dyDescent="0.15">
      <c r="A986" t="s">
        <v>4103</v>
      </c>
      <c r="C986" t="s">
        <v>3521</v>
      </c>
      <c r="F986" t="s">
        <v>57</v>
      </c>
    </row>
    <row r="987" spans="1:6" x14ac:dyDescent="0.15">
      <c r="A987" t="s">
        <v>4103</v>
      </c>
      <c r="C987" t="s">
        <v>3522</v>
      </c>
      <c r="F987" t="s">
        <v>1445</v>
      </c>
    </row>
    <row r="988" spans="1:6" x14ac:dyDescent="0.15">
      <c r="A988" t="s">
        <v>4103</v>
      </c>
      <c r="C988" t="s">
        <v>3523</v>
      </c>
      <c r="F988" t="s">
        <v>1446</v>
      </c>
    </row>
    <row r="989" spans="1:6" x14ac:dyDescent="0.15">
      <c r="A989" t="s">
        <v>4103</v>
      </c>
      <c r="C989" t="s">
        <v>3524</v>
      </c>
      <c r="F989" t="s">
        <v>1447</v>
      </c>
    </row>
    <row r="990" spans="1:6" x14ac:dyDescent="0.15">
      <c r="A990" t="s">
        <v>4103</v>
      </c>
      <c r="C990" t="s">
        <v>3525</v>
      </c>
      <c r="F990" t="s">
        <v>1448</v>
      </c>
    </row>
    <row r="991" spans="1:6" x14ac:dyDescent="0.15">
      <c r="A991" t="s">
        <v>4103</v>
      </c>
      <c r="C991" t="s">
        <v>3526</v>
      </c>
      <c r="F991" t="s">
        <v>1449</v>
      </c>
    </row>
    <row r="992" spans="1:6" x14ac:dyDescent="0.15">
      <c r="A992" t="s">
        <v>4103</v>
      </c>
      <c r="C992" t="s">
        <v>3527</v>
      </c>
      <c r="F992" t="s">
        <v>1450</v>
      </c>
    </row>
    <row r="993" spans="1:6" x14ac:dyDescent="0.15">
      <c r="A993" t="s">
        <v>4103</v>
      </c>
      <c r="C993" t="s">
        <v>3528</v>
      </c>
      <c r="F993" t="s">
        <v>108</v>
      </c>
    </row>
    <row r="994" spans="1:6" x14ac:dyDescent="0.15">
      <c r="A994" t="s">
        <v>4103</v>
      </c>
      <c r="C994" t="s">
        <v>3529</v>
      </c>
      <c r="F994" t="s">
        <v>1451</v>
      </c>
    </row>
    <row r="995" spans="1:6" x14ac:dyDescent="0.15">
      <c r="A995" t="s">
        <v>4103</v>
      </c>
      <c r="C995" t="s">
        <v>3530</v>
      </c>
      <c r="F995" t="s">
        <v>1452</v>
      </c>
    </row>
    <row r="996" spans="1:6" x14ac:dyDescent="0.15">
      <c r="A996" t="s">
        <v>4103</v>
      </c>
      <c r="C996" t="s">
        <v>3531</v>
      </c>
      <c r="F996" t="s">
        <v>1453</v>
      </c>
    </row>
    <row r="997" spans="1:6" x14ac:dyDescent="0.15">
      <c r="A997" t="s">
        <v>4103</v>
      </c>
      <c r="C997" t="s">
        <v>3532</v>
      </c>
      <c r="F997" t="s">
        <v>1454</v>
      </c>
    </row>
    <row r="998" spans="1:6" x14ac:dyDescent="0.15">
      <c r="A998" t="s">
        <v>4103</v>
      </c>
      <c r="C998" t="s">
        <v>3533</v>
      </c>
      <c r="F998" t="s">
        <v>1455</v>
      </c>
    </row>
    <row r="999" spans="1:6" x14ac:dyDescent="0.15">
      <c r="A999" t="s">
        <v>4103</v>
      </c>
      <c r="C999" t="s">
        <v>1079</v>
      </c>
      <c r="F999" t="s">
        <v>1456</v>
      </c>
    </row>
    <row r="1000" spans="1:6" x14ac:dyDescent="0.15">
      <c r="A1000" t="s">
        <v>4103</v>
      </c>
      <c r="C1000" t="s">
        <v>3534</v>
      </c>
      <c r="F1000" t="s">
        <v>1457</v>
      </c>
    </row>
    <row r="1001" spans="1:6" x14ac:dyDescent="0.15">
      <c r="A1001" t="s">
        <v>4103</v>
      </c>
      <c r="C1001" t="s">
        <v>3535</v>
      </c>
      <c r="F1001" t="s">
        <v>1458</v>
      </c>
    </row>
    <row r="1002" spans="1:6" x14ac:dyDescent="0.15">
      <c r="A1002" t="s">
        <v>4103</v>
      </c>
      <c r="C1002" t="s">
        <v>3536</v>
      </c>
      <c r="F1002" t="s">
        <v>1459</v>
      </c>
    </row>
    <row r="1003" spans="1:6" x14ac:dyDescent="0.15">
      <c r="A1003" t="s">
        <v>4103</v>
      </c>
      <c r="C1003" t="s">
        <v>3537</v>
      </c>
      <c r="F1003" t="s">
        <v>1460</v>
      </c>
    </row>
    <row r="1004" spans="1:6" x14ac:dyDescent="0.15">
      <c r="A1004" t="s">
        <v>4103</v>
      </c>
      <c r="C1004" t="s">
        <v>3538</v>
      </c>
      <c r="F1004" t="s">
        <v>1461</v>
      </c>
    </row>
    <row r="1005" spans="1:6" x14ac:dyDescent="0.15">
      <c r="A1005" t="s">
        <v>4103</v>
      </c>
      <c r="C1005" t="s">
        <v>3539</v>
      </c>
      <c r="F1005" t="s">
        <v>1462</v>
      </c>
    </row>
    <row r="1006" spans="1:6" x14ac:dyDescent="0.15">
      <c r="A1006" t="s">
        <v>4103</v>
      </c>
      <c r="C1006" t="s">
        <v>3540</v>
      </c>
      <c r="F1006" t="s">
        <v>1463</v>
      </c>
    </row>
    <row r="1007" spans="1:6" x14ac:dyDescent="0.15">
      <c r="A1007" t="s">
        <v>4103</v>
      </c>
      <c r="C1007" t="s">
        <v>3541</v>
      </c>
      <c r="F1007" t="s">
        <v>1464</v>
      </c>
    </row>
    <row r="1008" spans="1:6" x14ac:dyDescent="0.15">
      <c r="A1008" t="s">
        <v>4103</v>
      </c>
      <c r="C1008" t="s">
        <v>3542</v>
      </c>
      <c r="F1008" t="s">
        <v>1465</v>
      </c>
    </row>
    <row r="1009" spans="1:6" x14ac:dyDescent="0.15">
      <c r="A1009" t="s">
        <v>4103</v>
      </c>
      <c r="C1009" t="s">
        <v>3543</v>
      </c>
      <c r="F1009" t="s">
        <v>1466</v>
      </c>
    </row>
    <row r="1010" spans="1:6" x14ac:dyDescent="0.15">
      <c r="A1010" t="s">
        <v>4103</v>
      </c>
      <c r="C1010" t="s">
        <v>3544</v>
      </c>
      <c r="F1010" t="s">
        <v>1467</v>
      </c>
    </row>
    <row r="1011" spans="1:6" x14ac:dyDescent="0.15">
      <c r="A1011" t="s">
        <v>4103</v>
      </c>
      <c r="C1011" t="s">
        <v>3545</v>
      </c>
      <c r="F1011" t="s">
        <v>1468</v>
      </c>
    </row>
    <row r="1012" spans="1:6" x14ac:dyDescent="0.15">
      <c r="A1012" t="s">
        <v>4103</v>
      </c>
      <c r="C1012" t="s">
        <v>3546</v>
      </c>
      <c r="F1012" t="s">
        <v>1469</v>
      </c>
    </row>
    <row r="1013" spans="1:6" x14ac:dyDescent="0.15">
      <c r="A1013" t="s">
        <v>4103</v>
      </c>
      <c r="C1013" t="s">
        <v>3547</v>
      </c>
      <c r="F1013" t="s">
        <v>1470</v>
      </c>
    </row>
    <row r="1014" spans="1:6" x14ac:dyDescent="0.15">
      <c r="A1014" t="s">
        <v>4103</v>
      </c>
      <c r="C1014" t="s">
        <v>3548</v>
      </c>
      <c r="F1014" t="s">
        <v>1471</v>
      </c>
    </row>
    <row r="1015" spans="1:6" x14ac:dyDescent="0.15">
      <c r="A1015" t="s">
        <v>4103</v>
      </c>
      <c r="C1015" t="s">
        <v>3549</v>
      </c>
      <c r="F1015" t="s">
        <v>1472</v>
      </c>
    </row>
    <row r="1016" spans="1:6" x14ac:dyDescent="0.15">
      <c r="A1016" t="s">
        <v>4103</v>
      </c>
      <c r="C1016" t="s">
        <v>3550</v>
      </c>
      <c r="F1016" t="s">
        <v>1473</v>
      </c>
    </row>
    <row r="1017" spans="1:6" x14ac:dyDescent="0.15">
      <c r="A1017" t="s">
        <v>4103</v>
      </c>
      <c r="C1017" t="s">
        <v>3551</v>
      </c>
      <c r="F1017" t="s">
        <v>1474</v>
      </c>
    </row>
    <row r="1018" spans="1:6" x14ac:dyDescent="0.15">
      <c r="A1018" t="s">
        <v>4103</v>
      </c>
      <c r="C1018" t="s">
        <v>3552</v>
      </c>
      <c r="F1018" t="s">
        <v>1475</v>
      </c>
    </row>
    <row r="1019" spans="1:6" x14ac:dyDescent="0.15">
      <c r="A1019" t="s">
        <v>4103</v>
      </c>
      <c r="C1019" t="s">
        <v>3553</v>
      </c>
      <c r="F1019" t="s">
        <v>1476</v>
      </c>
    </row>
    <row r="1020" spans="1:6" x14ac:dyDescent="0.15">
      <c r="A1020" t="s">
        <v>4103</v>
      </c>
      <c r="C1020" t="s">
        <v>3554</v>
      </c>
      <c r="F1020" t="s">
        <v>1477</v>
      </c>
    </row>
    <row r="1021" spans="1:6" x14ac:dyDescent="0.15">
      <c r="A1021" t="s">
        <v>4103</v>
      </c>
      <c r="C1021" t="s">
        <v>3555</v>
      </c>
      <c r="F1021" t="s">
        <v>1478</v>
      </c>
    </row>
    <row r="1022" spans="1:6" x14ac:dyDescent="0.15">
      <c r="A1022" t="s">
        <v>4103</v>
      </c>
      <c r="C1022" t="s">
        <v>3556</v>
      </c>
      <c r="F1022" t="s">
        <v>1479</v>
      </c>
    </row>
    <row r="1023" spans="1:6" x14ac:dyDescent="0.15">
      <c r="A1023" t="s">
        <v>4103</v>
      </c>
      <c r="C1023" t="s">
        <v>3557</v>
      </c>
      <c r="F1023" t="s">
        <v>886</v>
      </c>
    </row>
    <row r="1024" spans="1:6" x14ac:dyDescent="0.15">
      <c r="A1024" t="s">
        <v>4103</v>
      </c>
      <c r="C1024" t="s">
        <v>3558</v>
      </c>
      <c r="F1024" t="s">
        <v>1480</v>
      </c>
    </row>
    <row r="1025" spans="1:6" x14ac:dyDescent="0.15">
      <c r="A1025" t="s">
        <v>4103</v>
      </c>
      <c r="C1025" t="s">
        <v>3559</v>
      </c>
      <c r="F1025" t="s">
        <v>1481</v>
      </c>
    </row>
    <row r="1026" spans="1:6" x14ac:dyDescent="0.15">
      <c r="A1026" t="s">
        <v>4103</v>
      </c>
      <c r="C1026" t="s">
        <v>3560</v>
      </c>
      <c r="F1026" t="s">
        <v>1482</v>
      </c>
    </row>
    <row r="1027" spans="1:6" x14ac:dyDescent="0.15">
      <c r="A1027" t="s">
        <v>4103</v>
      </c>
      <c r="C1027" t="s">
        <v>3561</v>
      </c>
      <c r="F1027" t="s">
        <v>1483</v>
      </c>
    </row>
    <row r="1028" spans="1:6" x14ac:dyDescent="0.15">
      <c r="A1028" t="s">
        <v>4103</v>
      </c>
      <c r="C1028" t="s">
        <v>2121</v>
      </c>
      <c r="F1028" t="s">
        <v>1484</v>
      </c>
    </row>
    <row r="1029" spans="1:6" x14ac:dyDescent="0.15">
      <c r="A1029" t="s">
        <v>4103</v>
      </c>
      <c r="C1029" t="s">
        <v>3562</v>
      </c>
      <c r="F1029" t="s">
        <v>1485</v>
      </c>
    </row>
    <row r="1030" spans="1:6" x14ac:dyDescent="0.15">
      <c r="A1030" t="s">
        <v>4103</v>
      </c>
      <c r="C1030" t="s">
        <v>3563</v>
      </c>
      <c r="F1030" t="s">
        <v>1486</v>
      </c>
    </row>
    <row r="1031" spans="1:6" x14ac:dyDescent="0.15">
      <c r="A1031" t="s">
        <v>4103</v>
      </c>
      <c r="C1031" t="s">
        <v>3564</v>
      </c>
      <c r="F1031" t="s">
        <v>1487</v>
      </c>
    </row>
    <row r="1032" spans="1:6" x14ac:dyDescent="0.15">
      <c r="A1032" t="s">
        <v>4103</v>
      </c>
      <c r="C1032" t="s">
        <v>3565</v>
      </c>
      <c r="F1032" t="s">
        <v>1488</v>
      </c>
    </row>
    <row r="1033" spans="1:6" x14ac:dyDescent="0.15">
      <c r="A1033" t="s">
        <v>4103</v>
      </c>
      <c r="C1033" t="s">
        <v>3566</v>
      </c>
      <c r="F1033" t="s">
        <v>1489</v>
      </c>
    </row>
    <row r="1034" spans="1:6" x14ac:dyDescent="0.15">
      <c r="A1034" t="s">
        <v>4103</v>
      </c>
      <c r="C1034" t="s">
        <v>3567</v>
      </c>
      <c r="F1034" t="s">
        <v>137</v>
      </c>
    </row>
    <row r="1035" spans="1:6" x14ac:dyDescent="0.15">
      <c r="A1035" t="s">
        <v>4103</v>
      </c>
      <c r="C1035" t="s">
        <v>3568</v>
      </c>
      <c r="F1035" t="s">
        <v>1490</v>
      </c>
    </row>
    <row r="1036" spans="1:6" x14ac:dyDescent="0.15">
      <c r="A1036" t="s">
        <v>4103</v>
      </c>
      <c r="C1036" t="s">
        <v>3569</v>
      </c>
      <c r="F1036" t="s">
        <v>1491</v>
      </c>
    </row>
    <row r="1037" spans="1:6" x14ac:dyDescent="0.15">
      <c r="A1037" t="s">
        <v>4103</v>
      </c>
      <c r="C1037" t="s">
        <v>3570</v>
      </c>
      <c r="F1037" t="s">
        <v>1492</v>
      </c>
    </row>
    <row r="1038" spans="1:6" x14ac:dyDescent="0.15">
      <c r="A1038" t="s">
        <v>4103</v>
      </c>
      <c r="C1038" t="s">
        <v>3571</v>
      </c>
      <c r="F1038" t="s">
        <v>1493</v>
      </c>
    </row>
    <row r="1039" spans="1:6" x14ac:dyDescent="0.15">
      <c r="A1039" t="s">
        <v>4103</v>
      </c>
      <c r="C1039" t="s">
        <v>3572</v>
      </c>
      <c r="F1039" t="s">
        <v>1494</v>
      </c>
    </row>
    <row r="1040" spans="1:6" x14ac:dyDescent="0.15">
      <c r="A1040" t="s">
        <v>4103</v>
      </c>
      <c r="C1040" t="s">
        <v>3573</v>
      </c>
      <c r="F1040" t="s">
        <v>1495</v>
      </c>
    </row>
    <row r="1041" spans="1:6" x14ac:dyDescent="0.15">
      <c r="A1041" t="s">
        <v>4103</v>
      </c>
      <c r="C1041" t="s">
        <v>1061</v>
      </c>
      <c r="F1041" t="s">
        <v>1496</v>
      </c>
    </row>
    <row r="1042" spans="1:6" x14ac:dyDescent="0.15">
      <c r="A1042" t="s">
        <v>4103</v>
      </c>
      <c r="C1042" t="s">
        <v>3574</v>
      </c>
      <c r="F1042" t="s">
        <v>1497</v>
      </c>
    </row>
    <row r="1043" spans="1:6" x14ac:dyDescent="0.15">
      <c r="A1043" t="s">
        <v>4103</v>
      </c>
      <c r="C1043" t="s">
        <v>1038</v>
      </c>
      <c r="F1043" t="s">
        <v>1498</v>
      </c>
    </row>
    <row r="1044" spans="1:6" x14ac:dyDescent="0.15">
      <c r="A1044" t="s">
        <v>4103</v>
      </c>
      <c r="C1044" t="s">
        <v>1041</v>
      </c>
      <c r="F1044" t="s">
        <v>1499</v>
      </c>
    </row>
    <row r="1045" spans="1:6" x14ac:dyDescent="0.15">
      <c r="A1045" t="s">
        <v>4103</v>
      </c>
      <c r="C1045" t="s">
        <v>3575</v>
      </c>
      <c r="F1045" t="s">
        <v>1500</v>
      </c>
    </row>
    <row r="1046" spans="1:6" x14ac:dyDescent="0.15">
      <c r="A1046" t="s">
        <v>4103</v>
      </c>
      <c r="C1046" t="s">
        <v>3576</v>
      </c>
      <c r="F1046" t="s">
        <v>1501</v>
      </c>
    </row>
    <row r="1047" spans="1:6" x14ac:dyDescent="0.15">
      <c r="A1047" t="s">
        <v>4103</v>
      </c>
      <c r="C1047" t="s">
        <v>3577</v>
      </c>
      <c r="F1047" t="s">
        <v>1502</v>
      </c>
    </row>
    <row r="1048" spans="1:6" x14ac:dyDescent="0.15">
      <c r="A1048" t="s">
        <v>4103</v>
      </c>
      <c r="C1048" t="s">
        <v>3578</v>
      </c>
      <c r="F1048" t="s">
        <v>1503</v>
      </c>
    </row>
    <row r="1049" spans="1:6" x14ac:dyDescent="0.15">
      <c r="A1049" t="s">
        <v>4103</v>
      </c>
      <c r="C1049" t="s">
        <v>3579</v>
      </c>
      <c r="F1049" t="s">
        <v>1504</v>
      </c>
    </row>
    <row r="1050" spans="1:6" x14ac:dyDescent="0.15">
      <c r="A1050" t="s">
        <v>4103</v>
      </c>
      <c r="C1050" t="s">
        <v>3580</v>
      </c>
      <c r="F1050" t="s">
        <v>1505</v>
      </c>
    </row>
    <row r="1051" spans="1:6" x14ac:dyDescent="0.15">
      <c r="A1051" t="s">
        <v>4103</v>
      </c>
      <c r="C1051" t="s">
        <v>3581</v>
      </c>
      <c r="F1051" t="s">
        <v>1506</v>
      </c>
    </row>
    <row r="1052" spans="1:6" x14ac:dyDescent="0.15">
      <c r="A1052" t="s">
        <v>4103</v>
      </c>
      <c r="C1052" t="s">
        <v>898</v>
      </c>
      <c r="F1052" t="s">
        <v>1507</v>
      </c>
    </row>
    <row r="1053" spans="1:6" x14ac:dyDescent="0.15">
      <c r="A1053" t="s">
        <v>4103</v>
      </c>
      <c r="C1053" t="s">
        <v>1096</v>
      </c>
      <c r="F1053" t="s">
        <v>1508</v>
      </c>
    </row>
    <row r="1054" spans="1:6" x14ac:dyDescent="0.15">
      <c r="A1054" t="s">
        <v>4103</v>
      </c>
      <c r="C1054" t="s">
        <v>3582</v>
      </c>
      <c r="F1054" t="s">
        <v>1509</v>
      </c>
    </row>
    <row r="1055" spans="1:6" x14ac:dyDescent="0.15">
      <c r="A1055" t="s">
        <v>4103</v>
      </c>
      <c r="C1055" t="s">
        <v>3583</v>
      </c>
      <c r="F1055" t="s">
        <v>1510</v>
      </c>
    </row>
    <row r="1056" spans="1:6" x14ac:dyDescent="0.15">
      <c r="A1056" t="s">
        <v>4103</v>
      </c>
      <c r="C1056" t="s">
        <v>3584</v>
      </c>
      <c r="F1056" t="s">
        <v>1511</v>
      </c>
    </row>
    <row r="1057" spans="1:6" x14ac:dyDescent="0.15">
      <c r="A1057" t="s">
        <v>4103</v>
      </c>
      <c r="C1057" t="s">
        <v>3585</v>
      </c>
      <c r="F1057" t="s">
        <v>1512</v>
      </c>
    </row>
    <row r="1058" spans="1:6" x14ac:dyDescent="0.15">
      <c r="A1058" t="s">
        <v>4103</v>
      </c>
      <c r="C1058" t="s">
        <v>3586</v>
      </c>
      <c r="F1058" t="s">
        <v>1513</v>
      </c>
    </row>
    <row r="1059" spans="1:6" x14ac:dyDescent="0.15">
      <c r="A1059" t="s">
        <v>4103</v>
      </c>
      <c r="C1059" t="s">
        <v>3587</v>
      </c>
      <c r="F1059" t="s">
        <v>1514</v>
      </c>
    </row>
    <row r="1060" spans="1:6" x14ac:dyDescent="0.15">
      <c r="A1060" t="s">
        <v>4103</v>
      </c>
      <c r="C1060" t="s">
        <v>3588</v>
      </c>
      <c r="F1060" t="s">
        <v>1515</v>
      </c>
    </row>
    <row r="1061" spans="1:6" x14ac:dyDescent="0.15">
      <c r="A1061" t="s">
        <v>4103</v>
      </c>
      <c r="C1061" t="s">
        <v>3589</v>
      </c>
      <c r="F1061" t="s">
        <v>1516</v>
      </c>
    </row>
    <row r="1062" spans="1:6" x14ac:dyDescent="0.15">
      <c r="A1062" t="s">
        <v>4103</v>
      </c>
      <c r="C1062" t="s">
        <v>3590</v>
      </c>
      <c r="F1062" t="s">
        <v>1517</v>
      </c>
    </row>
    <row r="1063" spans="1:6" x14ac:dyDescent="0.15">
      <c r="A1063" t="s">
        <v>4103</v>
      </c>
      <c r="C1063" t="s">
        <v>3591</v>
      </c>
      <c r="F1063" t="s">
        <v>1518</v>
      </c>
    </row>
    <row r="1064" spans="1:6" x14ac:dyDescent="0.15">
      <c r="A1064" t="s">
        <v>4103</v>
      </c>
      <c r="C1064" t="s">
        <v>3592</v>
      </c>
      <c r="F1064" t="s">
        <v>1519</v>
      </c>
    </row>
    <row r="1065" spans="1:6" x14ac:dyDescent="0.15">
      <c r="A1065" t="s">
        <v>4103</v>
      </c>
      <c r="C1065" t="s">
        <v>3593</v>
      </c>
      <c r="F1065" t="s">
        <v>1520</v>
      </c>
    </row>
    <row r="1066" spans="1:6" x14ac:dyDescent="0.15">
      <c r="A1066" t="s">
        <v>4103</v>
      </c>
      <c r="C1066" t="s">
        <v>3594</v>
      </c>
      <c r="F1066" t="s">
        <v>1521</v>
      </c>
    </row>
    <row r="1067" spans="1:6" x14ac:dyDescent="0.15">
      <c r="A1067" t="s">
        <v>4103</v>
      </c>
      <c r="C1067" t="s">
        <v>3595</v>
      </c>
      <c r="F1067" t="s">
        <v>1522</v>
      </c>
    </row>
    <row r="1068" spans="1:6" x14ac:dyDescent="0.15">
      <c r="A1068" t="s">
        <v>4103</v>
      </c>
      <c r="C1068" t="s">
        <v>3596</v>
      </c>
      <c r="F1068" t="s">
        <v>1523</v>
      </c>
    </row>
    <row r="1069" spans="1:6" x14ac:dyDescent="0.15">
      <c r="A1069" t="s">
        <v>4103</v>
      </c>
      <c r="C1069" t="s">
        <v>3597</v>
      </c>
      <c r="F1069" t="s">
        <v>1524</v>
      </c>
    </row>
    <row r="1070" spans="1:6" x14ac:dyDescent="0.15">
      <c r="A1070" t="s">
        <v>4103</v>
      </c>
      <c r="C1070" t="s">
        <v>3598</v>
      </c>
      <c r="F1070" t="s">
        <v>1525</v>
      </c>
    </row>
    <row r="1071" spans="1:6" x14ac:dyDescent="0.15">
      <c r="A1071" t="s">
        <v>4103</v>
      </c>
      <c r="C1071" t="s">
        <v>3599</v>
      </c>
      <c r="F1071" t="s">
        <v>1526</v>
      </c>
    </row>
    <row r="1072" spans="1:6" x14ac:dyDescent="0.15">
      <c r="A1072" t="s">
        <v>4103</v>
      </c>
      <c r="C1072" t="s">
        <v>3600</v>
      </c>
      <c r="F1072" t="s">
        <v>1527</v>
      </c>
    </row>
    <row r="1073" spans="1:6" x14ac:dyDescent="0.15">
      <c r="A1073" t="s">
        <v>4103</v>
      </c>
      <c r="C1073" t="s">
        <v>3601</v>
      </c>
      <c r="F1073" t="s">
        <v>1528</v>
      </c>
    </row>
    <row r="1074" spans="1:6" x14ac:dyDescent="0.15">
      <c r="A1074" t="s">
        <v>4103</v>
      </c>
      <c r="C1074" t="s">
        <v>3602</v>
      </c>
      <c r="F1074" t="s">
        <v>1529</v>
      </c>
    </row>
    <row r="1075" spans="1:6" x14ac:dyDescent="0.15">
      <c r="A1075" t="s">
        <v>4103</v>
      </c>
      <c r="C1075" t="s">
        <v>973</v>
      </c>
      <c r="F1075" t="s">
        <v>1530</v>
      </c>
    </row>
    <row r="1076" spans="1:6" x14ac:dyDescent="0.15">
      <c r="A1076" t="s">
        <v>4103</v>
      </c>
      <c r="C1076" t="s">
        <v>3603</v>
      </c>
      <c r="F1076" t="s">
        <v>1531</v>
      </c>
    </row>
    <row r="1077" spans="1:6" x14ac:dyDescent="0.15">
      <c r="A1077" t="s">
        <v>4103</v>
      </c>
      <c r="C1077" t="s">
        <v>3604</v>
      </c>
      <c r="F1077" t="s">
        <v>1532</v>
      </c>
    </row>
    <row r="1078" spans="1:6" x14ac:dyDescent="0.15">
      <c r="A1078" t="s">
        <v>4103</v>
      </c>
      <c r="C1078" t="s">
        <v>3605</v>
      </c>
      <c r="F1078" t="s">
        <v>1533</v>
      </c>
    </row>
    <row r="1079" spans="1:6" x14ac:dyDescent="0.15">
      <c r="A1079" t="s">
        <v>4103</v>
      </c>
      <c r="C1079" t="s">
        <v>3606</v>
      </c>
      <c r="F1079" t="s">
        <v>1534</v>
      </c>
    </row>
    <row r="1080" spans="1:6" x14ac:dyDescent="0.15">
      <c r="A1080" t="s">
        <v>4103</v>
      </c>
      <c r="C1080" t="s">
        <v>3607</v>
      </c>
      <c r="F1080" t="s">
        <v>1535</v>
      </c>
    </row>
    <row r="1081" spans="1:6" x14ac:dyDescent="0.15">
      <c r="A1081" t="s">
        <v>4103</v>
      </c>
      <c r="C1081" t="s">
        <v>3608</v>
      </c>
      <c r="F1081" t="s">
        <v>1536</v>
      </c>
    </row>
    <row r="1082" spans="1:6" x14ac:dyDescent="0.15">
      <c r="A1082" t="s">
        <v>4103</v>
      </c>
      <c r="C1082" t="s">
        <v>3609</v>
      </c>
      <c r="F1082" t="s">
        <v>1537</v>
      </c>
    </row>
    <row r="1083" spans="1:6" x14ac:dyDescent="0.15">
      <c r="A1083" t="s">
        <v>4103</v>
      </c>
      <c r="C1083" t="s">
        <v>3610</v>
      </c>
      <c r="F1083" t="s">
        <v>1538</v>
      </c>
    </row>
    <row r="1084" spans="1:6" x14ac:dyDescent="0.15">
      <c r="A1084" t="s">
        <v>4103</v>
      </c>
      <c r="C1084" t="s">
        <v>3611</v>
      </c>
      <c r="F1084" t="s">
        <v>1539</v>
      </c>
    </row>
    <row r="1085" spans="1:6" x14ac:dyDescent="0.15">
      <c r="A1085" t="s">
        <v>4103</v>
      </c>
      <c r="C1085" t="s">
        <v>1036</v>
      </c>
      <c r="F1085" t="s">
        <v>1540</v>
      </c>
    </row>
    <row r="1086" spans="1:6" x14ac:dyDescent="0.15">
      <c r="A1086" t="s">
        <v>4103</v>
      </c>
      <c r="C1086" t="s">
        <v>3612</v>
      </c>
      <c r="F1086" t="s">
        <v>1541</v>
      </c>
    </row>
    <row r="1087" spans="1:6" x14ac:dyDescent="0.15">
      <c r="A1087" t="s">
        <v>4103</v>
      </c>
      <c r="C1087" t="s">
        <v>1006</v>
      </c>
      <c r="F1087" t="s">
        <v>1542</v>
      </c>
    </row>
    <row r="1088" spans="1:6" x14ac:dyDescent="0.15">
      <c r="A1088" t="s">
        <v>4103</v>
      </c>
      <c r="C1088" t="s">
        <v>3613</v>
      </c>
      <c r="F1088" t="s">
        <v>1543</v>
      </c>
    </row>
    <row r="1089" spans="1:6" x14ac:dyDescent="0.15">
      <c r="A1089" t="s">
        <v>4103</v>
      </c>
      <c r="C1089" t="s">
        <v>3614</v>
      </c>
      <c r="F1089" t="s">
        <v>1544</v>
      </c>
    </row>
    <row r="1090" spans="1:6" x14ac:dyDescent="0.15">
      <c r="A1090" t="s">
        <v>4103</v>
      </c>
      <c r="C1090" t="s">
        <v>3615</v>
      </c>
      <c r="F1090" t="s">
        <v>1545</v>
      </c>
    </row>
    <row r="1091" spans="1:6" x14ac:dyDescent="0.15">
      <c r="A1091" t="s">
        <v>4103</v>
      </c>
      <c r="C1091" t="s">
        <v>3616</v>
      </c>
      <c r="F1091" t="s">
        <v>1546</v>
      </c>
    </row>
    <row r="1092" spans="1:6" x14ac:dyDescent="0.15">
      <c r="A1092" t="s">
        <v>4103</v>
      </c>
      <c r="C1092" t="s">
        <v>3617</v>
      </c>
      <c r="F1092" t="s">
        <v>1547</v>
      </c>
    </row>
    <row r="1093" spans="1:6" x14ac:dyDescent="0.15">
      <c r="A1093" t="s">
        <v>4103</v>
      </c>
      <c r="C1093" t="s">
        <v>3618</v>
      </c>
      <c r="F1093" t="s">
        <v>83</v>
      </c>
    </row>
    <row r="1094" spans="1:6" x14ac:dyDescent="0.15">
      <c r="A1094" t="s">
        <v>4103</v>
      </c>
      <c r="C1094" t="s">
        <v>3619</v>
      </c>
      <c r="F1094" t="s">
        <v>35</v>
      </c>
    </row>
    <row r="1095" spans="1:6" x14ac:dyDescent="0.15">
      <c r="A1095" t="s">
        <v>4103</v>
      </c>
      <c r="C1095" t="s">
        <v>985</v>
      </c>
      <c r="F1095" t="s">
        <v>114</v>
      </c>
    </row>
    <row r="1096" spans="1:6" x14ac:dyDescent="0.15">
      <c r="A1096" t="s">
        <v>4103</v>
      </c>
      <c r="C1096" t="s">
        <v>1064</v>
      </c>
      <c r="F1096" t="s">
        <v>127</v>
      </c>
    </row>
    <row r="1097" spans="1:6" x14ac:dyDescent="0.15">
      <c r="A1097" t="s">
        <v>4103</v>
      </c>
      <c r="C1097" t="s">
        <v>3620</v>
      </c>
      <c r="F1097" t="s">
        <v>1548</v>
      </c>
    </row>
    <row r="1098" spans="1:6" x14ac:dyDescent="0.15">
      <c r="A1098" t="s">
        <v>4103</v>
      </c>
      <c r="C1098" t="s">
        <v>3621</v>
      </c>
      <c r="F1098" t="s">
        <v>1549</v>
      </c>
    </row>
    <row r="1099" spans="1:6" x14ac:dyDescent="0.15">
      <c r="A1099" t="s">
        <v>4103</v>
      </c>
      <c r="C1099" t="s">
        <v>3622</v>
      </c>
      <c r="F1099" t="s">
        <v>1550</v>
      </c>
    </row>
    <row r="1100" spans="1:6" x14ac:dyDescent="0.15">
      <c r="A1100" t="s">
        <v>4103</v>
      </c>
      <c r="C1100" t="s">
        <v>3623</v>
      </c>
      <c r="F1100" t="s">
        <v>1551</v>
      </c>
    </row>
    <row r="1101" spans="1:6" x14ac:dyDescent="0.15">
      <c r="A1101" t="s">
        <v>4103</v>
      </c>
      <c r="C1101" t="s">
        <v>3624</v>
      </c>
      <c r="F1101" t="s">
        <v>1552</v>
      </c>
    </row>
    <row r="1102" spans="1:6" x14ac:dyDescent="0.15">
      <c r="A1102" t="s">
        <v>4103</v>
      </c>
      <c r="C1102" t="s">
        <v>3625</v>
      </c>
      <c r="F1102" t="s">
        <v>131</v>
      </c>
    </row>
    <row r="1103" spans="1:6" x14ac:dyDescent="0.15">
      <c r="A1103" t="s">
        <v>4103</v>
      </c>
      <c r="C1103" t="s">
        <v>3626</v>
      </c>
      <c r="F1103" t="s">
        <v>1553</v>
      </c>
    </row>
    <row r="1104" spans="1:6" x14ac:dyDescent="0.15">
      <c r="A1104" t="s">
        <v>4103</v>
      </c>
      <c r="C1104" t="s">
        <v>3627</v>
      </c>
      <c r="F1104" t="s">
        <v>1554</v>
      </c>
    </row>
    <row r="1105" spans="1:6" x14ac:dyDescent="0.15">
      <c r="A1105" t="s">
        <v>4103</v>
      </c>
      <c r="C1105" t="s">
        <v>3628</v>
      </c>
      <c r="F1105" t="s">
        <v>1555</v>
      </c>
    </row>
    <row r="1106" spans="1:6" x14ac:dyDescent="0.15">
      <c r="A1106" t="s">
        <v>4103</v>
      </c>
      <c r="C1106" t="s">
        <v>3629</v>
      </c>
      <c r="F1106" t="s">
        <v>1556</v>
      </c>
    </row>
    <row r="1107" spans="1:6" x14ac:dyDescent="0.15">
      <c r="A1107" t="s">
        <v>4103</v>
      </c>
      <c r="C1107" t="s">
        <v>3630</v>
      </c>
      <c r="F1107" t="s">
        <v>1557</v>
      </c>
    </row>
    <row r="1108" spans="1:6" x14ac:dyDescent="0.15">
      <c r="A1108" t="s">
        <v>4103</v>
      </c>
      <c r="C1108" t="s">
        <v>3631</v>
      </c>
      <c r="F1108" t="s">
        <v>1558</v>
      </c>
    </row>
    <row r="1109" spans="1:6" x14ac:dyDescent="0.15">
      <c r="A1109" t="s">
        <v>4103</v>
      </c>
      <c r="C1109" t="s">
        <v>3632</v>
      </c>
      <c r="F1109" t="s">
        <v>66</v>
      </c>
    </row>
    <row r="1110" spans="1:6" x14ac:dyDescent="0.15">
      <c r="A1110" t="s">
        <v>4103</v>
      </c>
      <c r="C1110" t="s">
        <v>3633</v>
      </c>
      <c r="F1110" t="s">
        <v>1559</v>
      </c>
    </row>
    <row r="1111" spans="1:6" x14ac:dyDescent="0.15">
      <c r="F1111" t="s">
        <v>1560</v>
      </c>
    </row>
    <row r="1112" spans="1:6" x14ac:dyDescent="0.15">
      <c r="F1112" t="s">
        <v>1561</v>
      </c>
    </row>
    <row r="1113" spans="1:6" x14ac:dyDescent="0.15">
      <c r="F1113" t="s">
        <v>1562</v>
      </c>
    </row>
    <row r="1114" spans="1:6" x14ac:dyDescent="0.15">
      <c r="F1114" t="s">
        <v>1563</v>
      </c>
    </row>
    <row r="1115" spans="1:6" x14ac:dyDescent="0.15">
      <c r="F1115" t="s">
        <v>1564</v>
      </c>
    </row>
    <row r="1116" spans="1:6" x14ac:dyDescent="0.15">
      <c r="F1116" t="s">
        <v>1565</v>
      </c>
    </row>
    <row r="1117" spans="1:6" x14ac:dyDescent="0.15">
      <c r="F1117" t="s">
        <v>1566</v>
      </c>
    </row>
    <row r="1118" spans="1:6" x14ac:dyDescent="0.15">
      <c r="F1118" t="s">
        <v>1567</v>
      </c>
    </row>
    <row r="1119" spans="1:6" x14ac:dyDescent="0.15">
      <c r="F1119" t="s">
        <v>1568</v>
      </c>
    </row>
    <row r="1120" spans="1:6" x14ac:dyDescent="0.15">
      <c r="F1120" t="s">
        <v>1569</v>
      </c>
    </row>
    <row r="1121" spans="6:6" x14ac:dyDescent="0.15">
      <c r="F1121" t="s">
        <v>1570</v>
      </c>
    </row>
    <row r="1122" spans="6:6" x14ac:dyDescent="0.15">
      <c r="F1122" t="s">
        <v>1571</v>
      </c>
    </row>
    <row r="1123" spans="6:6" x14ac:dyDescent="0.15">
      <c r="F1123" t="s">
        <v>1572</v>
      </c>
    </row>
    <row r="1124" spans="6:6" x14ac:dyDescent="0.15">
      <c r="F1124" t="s">
        <v>1573</v>
      </c>
    </row>
    <row r="1125" spans="6:6" x14ac:dyDescent="0.15">
      <c r="F1125" t="s">
        <v>1574</v>
      </c>
    </row>
    <row r="1126" spans="6:6" x14ac:dyDescent="0.15">
      <c r="F1126" t="s">
        <v>1575</v>
      </c>
    </row>
    <row r="1127" spans="6:6" x14ac:dyDescent="0.15">
      <c r="F1127" t="s">
        <v>1576</v>
      </c>
    </row>
    <row r="1128" spans="6:6" x14ac:dyDescent="0.15">
      <c r="F1128" t="s">
        <v>1577</v>
      </c>
    </row>
    <row r="1129" spans="6:6" x14ac:dyDescent="0.15">
      <c r="F1129" t="s">
        <v>1578</v>
      </c>
    </row>
    <row r="1130" spans="6:6" x14ac:dyDescent="0.15">
      <c r="F1130" t="s">
        <v>1579</v>
      </c>
    </row>
    <row r="1131" spans="6:6" x14ac:dyDescent="0.15">
      <c r="F1131" t="s">
        <v>1580</v>
      </c>
    </row>
    <row r="1132" spans="6:6" x14ac:dyDescent="0.15">
      <c r="F1132" t="s">
        <v>1581</v>
      </c>
    </row>
    <row r="1133" spans="6:6" x14ac:dyDescent="0.15">
      <c r="F1133" t="s">
        <v>1582</v>
      </c>
    </row>
    <row r="1134" spans="6:6" x14ac:dyDescent="0.15">
      <c r="F1134" t="s">
        <v>1583</v>
      </c>
    </row>
    <row r="1135" spans="6:6" x14ac:dyDescent="0.15">
      <c r="F1135" t="s">
        <v>1584</v>
      </c>
    </row>
    <row r="1136" spans="6:6" x14ac:dyDescent="0.15">
      <c r="F1136" t="s">
        <v>1585</v>
      </c>
    </row>
    <row r="1137" spans="6:6" x14ac:dyDescent="0.15">
      <c r="F1137" t="s">
        <v>1586</v>
      </c>
    </row>
    <row r="1138" spans="6:6" x14ac:dyDescent="0.15">
      <c r="F1138" t="s">
        <v>1587</v>
      </c>
    </row>
    <row r="1139" spans="6:6" x14ac:dyDescent="0.15">
      <c r="F1139" t="s">
        <v>1588</v>
      </c>
    </row>
    <row r="1140" spans="6:6" x14ac:dyDescent="0.15">
      <c r="F1140" t="s">
        <v>1589</v>
      </c>
    </row>
    <row r="1141" spans="6:6" x14ac:dyDescent="0.15">
      <c r="F1141" t="s">
        <v>1590</v>
      </c>
    </row>
    <row r="1142" spans="6:6" x14ac:dyDescent="0.15">
      <c r="F1142" t="s">
        <v>1591</v>
      </c>
    </row>
    <row r="1143" spans="6:6" x14ac:dyDescent="0.15">
      <c r="F1143" t="s">
        <v>1592</v>
      </c>
    </row>
    <row r="1144" spans="6:6" x14ac:dyDescent="0.15">
      <c r="F1144" t="s">
        <v>1593</v>
      </c>
    </row>
    <row r="1145" spans="6:6" x14ac:dyDescent="0.15">
      <c r="F1145" t="s">
        <v>1594</v>
      </c>
    </row>
    <row r="1146" spans="6:6" x14ac:dyDescent="0.15">
      <c r="F1146" t="s">
        <v>1595</v>
      </c>
    </row>
    <row r="1147" spans="6:6" x14ac:dyDescent="0.15">
      <c r="F1147" t="s">
        <v>1596</v>
      </c>
    </row>
    <row r="1148" spans="6:6" x14ac:dyDescent="0.15">
      <c r="F1148" t="s">
        <v>1597</v>
      </c>
    </row>
    <row r="1149" spans="6:6" x14ac:dyDescent="0.15">
      <c r="F1149" t="s">
        <v>1598</v>
      </c>
    </row>
    <row r="1150" spans="6:6" x14ac:dyDescent="0.15">
      <c r="F1150" t="s">
        <v>1599</v>
      </c>
    </row>
    <row r="1151" spans="6:6" x14ac:dyDescent="0.15">
      <c r="F1151" t="s">
        <v>1600</v>
      </c>
    </row>
    <row r="1152" spans="6:6" x14ac:dyDescent="0.15">
      <c r="F1152" t="s">
        <v>1601</v>
      </c>
    </row>
    <row r="1153" spans="6:6" x14ac:dyDescent="0.15">
      <c r="F1153" t="s">
        <v>1602</v>
      </c>
    </row>
    <row r="1154" spans="6:6" x14ac:dyDescent="0.15">
      <c r="F1154" t="s">
        <v>1603</v>
      </c>
    </row>
    <row r="1155" spans="6:6" x14ac:dyDescent="0.15">
      <c r="F1155" t="s">
        <v>1604</v>
      </c>
    </row>
    <row r="1156" spans="6:6" x14ac:dyDescent="0.15">
      <c r="F1156" t="s">
        <v>1605</v>
      </c>
    </row>
    <row r="1157" spans="6:6" x14ac:dyDescent="0.15">
      <c r="F1157" t="s">
        <v>1606</v>
      </c>
    </row>
    <row r="1158" spans="6:6" x14ac:dyDescent="0.15">
      <c r="F1158" t="s">
        <v>1607</v>
      </c>
    </row>
    <row r="1159" spans="6:6" x14ac:dyDescent="0.15">
      <c r="F1159" t="s">
        <v>1608</v>
      </c>
    </row>
    <row r="1160" spans="6:6" x14ac:dyDescent="0.15">
      <c r="F1160" t="s">
        <v>1609</v>
      </c>
    </row>
    <row r="1161" spans="6:6" x14ac:dyDescent="0.15">
      <c r="F1161" t="s">
        <v>1610</v>
      </c>
    </row>
    <row r="1162" spans="6:6" x14ac:dyDescent="0.15">
      <c r="F1162" t="s">
        <v>1611</v>
      </c>
    </row>
    <row r="1163" spans="6:6" x14ac:dyDescent="0.15">
      <c r="F1163" t="s">
        <v>1612</v>
      </c>
    </row>
    <row r="1164" spans="6:6" x14ac:dyDescent="0.15">
      <c r="F1164" t="s">
        <v>1613</v>
      </c>
    </row>
    <row r="1165" spans="6:6" x14ac:dyDescent="0.15">
      <c r="F1165" t="s">
        <v>1614</v>
      </c>
    </row>
    <row r="1166" spans="6:6" x14ac:dyDescent="0.15">
      <c r="F1166" t="s">
        <v>1615</v>
      </c>
    </row>
    <row r="1167" spans="6:6" x14ac:dyDescent="0.15">
      <c r="F1167" t="s">
        <v>1616</v>
      </c>
    </row>
    <row r="1168" spans="6:6" x14ac:dyDescent="0.15">
      <c r="F1168" t="s">
        <v>1617</v>
      </c>
    </row>
    <row r="1169" spans="6:6" x14ac:dyDescent="0.15">
      <c r="F1169" t="s">
        <v>1618</v>
      </c>
    </row>
    <row r="1170" spans="6:6" x14ac:dyDescent="0.15">
      <c r="F1170" t="s">
        <v>1619</v>
      </c>
    </row>
    <row r="1171" spans="6:6" x14ac:dyDescent="0.15">
      <c r="F1171" t="s">
        <v>1620</v>
      </c>
    </row>
    <row r="1172" spans="6:6" x14ac:dyDescent="0.15">
      <c r="F1172" t="s">
        <v>1621</v>
      </c>
    </row>
    <row r="1173" spans="6:6" x14ac:dyDescent="0.15">
      <c r="F1173" t="s">
        <v>1622</v>
      </c>
    </row>
    <row r="1174" spans="6:6" x14ac:dyDescent="0.15">
      <c r="F1174" t="s">
        <v>1623</v>
      </c>
    </row>
    <row r="1175" spans="6:6" x14ac:dyDescent="0.15">
      <c r="F1175" t="s">
        <v>1624</v>
      </c>
    </row>
    <row r="1176" spans="6:6" x14ac:dyDescent="0.15">
      <c r="F1176" t="s">
        <v>1625</v>
      </c>
    </row>
    <row r="1177" spans="6:6" x14ac:dyDescent="0.15">
      <c r="F1177" t="s">
        <v>1626</v>
      </c>
    </row>
    <row r="1178" spans="6:6" x14ac:dyDescent="0.15">
      <c r="F1178" t="s">
        <v>1627</v>
      </c>
    </row>
    <row r="1179" spans="6:6" x14ac:dyDescent="0.15">
      <c r="F1179" t="s">
        <v>1628</v>
      </c>
    </row>
    <row r="1180" spans="6:6" x14ac:dyDescent="0.15">
      <c r="F1180" t="s">
        <v>1629</v>
      </c>
    </row>
    <row r="1181" spans="6:6" x14ac:dyDescent="0.15">
      <c r="F1181" t="s">
        <v>1630</v>
      </c>
    </row>
    <row r="1182" spans="6:6" x14ac:dyDescent="0.15">
      <c r="F1182" t="s">
        <v>1631</v>
      </c>
    </row>
    <row r="1183" spans="6:6" x14ac:dyDescent="0.15">
      <c r="F1183" t="s">
        <v>1632</v>
      </c>
    </row>
    <row r="1184" spans="6:6" x14ac:dyDescent="0.15">
      <c r="F1184" t="s">
        <v>1633</v>
      </c>
    </row>
    <row r="1185" spans="6:6" x14ac:dyDescent="0.15">
      <c r="F1185" t="s">
        <v>1634</v>
      </c>
    </row>
    <row r="1186" spans="6:6" x14ac:dyDescent="0.15">
      <c r="F1186" t="s">
        <v>1635</v>
      </c>
    </row>
    <row r="1187" spans="6:6" x14ac:dyDescent="0.15">
      <c r="F1187" t="s">
        <v>1636</v>
      </c>
    </row>
    <row r="1188" spans="6:6" x14ac:dyDescent="0.15">
      <c r="F1188" t="s">
        <v>1637</v>
      </c>
    </row>
    <row r="1189" spans="6:6" x14ac:dyDescent="0.15">
      <c r="F1189" t="s">
        <v>1638</v>
      </c>
    </row>
    <row r="1190" spans="6:6" x14ac:dyDescent="0.15">
      <c r="F1190" t="s">
        <v>1639</v>
      </c>
    </row>
    <row r="1191" spans="6:6" x14ac:dyDescent="0.15">
      <c r="F1191" t="s">
        <v>1640</v>
      </c>
    </row>
    <row r="1192" spans="6:6" x14ac:dyDescent="0.15">
      <c r="F1192" t="s">
        <v>1641</v>
      </c>
    </row>
    <row r="1193" spans="6:6" x14ac:dyDescent="0.15">
      <c r="F1193" t="s">
        <v>1642</v>
      </c>
    </row>
    <row r="1194" spans="6:6" x14ac:dyDescent="0.15">
      <c r="F1194" t="s">
        <v>1643</v>
      </c>
    </row>
    <row r="1195" spans="6:6" x14ac:dyDescent="0.15">
      <c r="F1195" t="s">
        <v>1644</v>
      </c>
    </row>
    <row r="1196" spans="6:6" x14ac:dyDescent="0.15">
      <c r="F1196" t="s">
        <v>1645</v>
      </c>
    </row>
    <row r="1197" spans="6:6" x14ac:dyDescent="0.15">
      <c r="F1197" t="s">
        <v>1646</v>
      </c>
    </row>
    <row r="1198" spans="6:6" x14ac:dyDescent="0.15">
      <c r="F1198" t="s">
        <v>144</v>
      </c>
    </row>
    <row r="1199" spans="6:6" x14ac:dyDescent="0.15">
      <c r="F1199" t="s">
        <v>1647</v>
      </c>
    </row>
    <row r="1200" spans="6:6" x14ac:dyDescent="0.15">
      <c r="F1200" t="s">
        <v>917</v>
      </c>
    </row>
    <row r="1201" spans="6:6" x14ac:dyDescent="0.15">
      <c r="F1201" t="s">
        <v>1648</v>
      </c>
    </row>
    <row r="1202" spans="6:6" x14ac:dyDescent="0.15">
      <c r="F1202" t="s">
        <v>1649</v>
      </c>
    </row>
    <row r="1203" spans="6:6" x14ac:dyDescent="0.15">
      <c r="F1203" t="s">
        <v>1650</v>
      </c>
    </row>
    <row r="1204" spans="6:6" x14ac:dyDescent="0.15">
      <c r="F1204" t="s">
        <v>1651</v>
      </c>
    </row>
    <row r="1205" spans="6:6" x14ac:dyDescent="0.15">
      <c r="F1205" t="s">
        <v>1652</v>
      </c>
    </row>
    <row r="1206" spans="6:6" x14ac:dyDescent="0.15">
      <c r="F1206" t="s">
        <v>1653</v>
      </c>
    </row>
    <row r="1207" spans="6:6" x14ac:dyDescent="0.15">
      <c r="F1207" t="s">
        <v>1654</v>
      </c>
    </row>
    <row r="1208" spans="6:6" x14ac:dyDescent="0.15">
      <c r="F1208" t="s">
        <v>1655</v>
      </c>
    </row>
    <row r="1209" spans="6:6" x14ac:dyDescent="0.15">
      <c r="F1209" t="s">
        <v>1656</v>
      </c>
    </row>
    <row r="1210" spans="6:6" x14ac:dyDescent="0.15">
      <c r="F1210" t="s">
        <v>1657</v>
      </c>
    </row>
    <row r="1211" spans="6:6" x14ac:dyDescent="0.15">
      <c r="F1211" t="s">
        <v>1658</v>
      </c>
    </row>
    <row r="1212" spans="6:6" x14ac:dyDescent="0.15">
      <c r="F1212" t="s">
        <v>1659</v>
      </c>
    </row>
    <row r="1213" spans="6:6" x14ac:dyDescent="0.15">
      <c r="F1213" t="s">
        <v>1660</v>
      </c>
    </row>
    <row r="1214" spans="6:6" x14ac:dyDescent="0.15">
      <c r="F1214" t="s">
        <v>195</v>
      </c>
    </row>
    <row r="1215" spans="6:6" x14ac:dyDescent="0.15">
      <c r="F1215" t="s">
        <v>1661</v>
      </c>
    </row>
    <row r="1216" spans="6:6" x14ac:dyDescent="0.15">
      <c r="F1216" t="s">
        <v>1662</v>
      </c>
    </row>
    <row r="1217" spans="6:6" x14ac:dyDescent="0.15">
      <c r="F1217" t="s">
        <v>1663</v>
      </c>
    </row>
    <row r="1218" spans="6:6" x14ac:dyDescent="0.15">
      <c r="F1218" t="s">
        <v>1664</v>
      </c>
    </row>
    <row r="1219" spans="6:6" x14ac:dyDescent="0.15">
      <c r="F1219" t="s">
        <v>1665</v>
      </c>
    </row>
    <row r="1220" spans="6:6" x14ac:dyDescent="0.15">
      <c r="F1220" t="s">
        <v>1666</v>
      </c>
    </row>
    <row r="1221" spans="6:6" x14ac:dyDescent="0.15">
      <c r="F1221" t="s">
        <v>1667</v>
      </c>
    </row>
    <row r="1222" spans="6:6" x14ac:dyDescent="0.15">
      <c r="F1222" t="s">
        <v>1668</v>
      </c>
    </row>
    <row r="1223" spans="6:6" x14ac:dyDescent="0.15">
      <c r="F1223" t="s">
        <v>1669</v>
      </c>
    </row>
    <row r="1224" spans="6:6" x14ac:dyDescent="0.15">
      <c r="F1224" t="s">
        <v>1670</v>
      </c>
    </row>
    <row r="1225" spans="6:6" x14ac:dyDescent="0.15">
      <c r="F1225" t="s">
        <v>1671</v>
      </c>
    </row>
    <row r="1226" spans="6:6" x14ac:dyDescent="0.15">
      <c r="F1226" t="s">
        <v>1672</v>
      </c>
    </row>
    <row r="1227" spans="6:6" x14ac:dyDescent="0.15">
      <c r="F1227" t="s">
        <v>1673</v>
      </c>
    </row>
    <row r="1228" spans="6:6" x14ac:dyDescent="0.15">
      <c r="F1228" t="s">
        <v>1674</v>
      </c>
    </row>
    <row r="1229" spans="6:6" x14ac:dyDescent="0.15">
      <c r="F1229" t="s">
        <v>1675</v>
      </c>
    </row>
    <row r="1230" spans="6:6" x14ac:dyDescent="0.15">
      <c r="F1230" t="s">
        <v>1676</v>
      </c>
    </row>
    <row r="1231" spans="6:6" x14ac:dyDescent="0.15">
      <c r="F1231" t="s">
        <v>1677</v>
      </c>
    </row>
    <row r="1232" spans="6:6" x14ac:dyDescent="0.15">
      <c r="F1232" t="s">
        <v>1678</v>
      </c>
    </row>
    <row r="1233" spans="6:6" x14ac:dyDescent="0.15">
      <c r="F1233" t="s">
        <v>1679</v>
      </c>
    </row>
    <row r="1234" spans="6:6" x14ac:dyDescent="0.15">
      <c r="F1234" t="s">
        <v>1680</v>
      </c>
    </row>
    <row r="1235" spans="6:6" x14ac:dyDescent="0.15">
      <c r="F1235" t="s">
        <v>1681</v>
      </c>
    </row>
    <row r="1236" spans="6:6" x14ac:dyDescent="0.15">
      <c r="F1236" t="s">
        <v>1682</v>
      </c>
    </row>
    <row r="1237" spans="6:6" x14ac:dyDescent="0.15">
      <c r="F1237" t="s">
        <v>1683</v>
      </c>
    </row>
    <row r="1238" spans="6:6" x14ac:dyDescent="0.15">
      <c r="F1238" t="s">
        <v>1684</v>
      </c>
    </row>
    <row r="1239" spans="6:6" x14ac:dyDescent="0.15">
      <c r="F1239" t="s">
        <v>1685</v>
      </c>
    </row>
    <row r="1240" spans="6:6" x14ac:dyDescent="0.15">
      <c r="F1240" t="s">
        <v>1686</v>
      </c>
    </row>
    <row r="1241" spans="6:6" x14ac:dyDescent="0.15">
      <c r="F1241" t="s">
        <v>1687</v>
      </c>
    </row>
    <row r="1242" spans="6:6" x14ac:dyDescent="0.15">
      <c r="F1242" t="s">
        <v>1688</v>
      </c>
    </row>
    <row r="1243" spans="6:6" x14ac:dyDescent="0.15">
      <c r="F1243" t="s">
        <v>1689</v>
      </c>
    </row>
    <row r="1244" spans="6:6" x14ac:dyDescent="0.15">
      <c r="F1244" t="s">
        <v>1690</v>
      </c>
    </row>
    <row r="1245" spans="6:6" x14ac:dyDescent="0.15">
      <c r="F1245" t="s">
        <v>1691</v>
      </c>
    </row>
    <row r="1246" spans="6:6" x14ac:dyDescent="0.15">
      <c r="F1246" t="s">
        <v>1692</v>
      </c>
    </row>
    <row r="1247" spans="6:6" x14ac:dyDescent="0.15">
      <c r="F1247" t="s">
        <v>1693</v>
      </c>
    </row>
    <row r="1248" spans="6:6" x14ac:dyDescent="0.15">
      <c r="F1248" t="s">
        <v>1694</v>
      </c>
    </row>
    <row r="1249" spans="6:6" x14ac:dyDescent="0.15">
      <c r="F1249" t="s">
        <v>1695</v>
      </c>
    </row>
    <row r="1250" spans="6:6" x14ac:dyDescent="0.15">
      <c r="F1250" t="s">
        <v>1696</v>
      </c>
    </row>
    <row r="1251" spans="6:6" x14ac:dyDescent="0.15">
      <c r="F1251" t="s">
        <v>1697</v>
      </c>
    </row>
    <row r="1252" spans="6:6" x14ac:dyDescent="0.15">
      <c r="F1252" t="s">
        <v>1698</v>
      </c>
    </row>
    <row r="1253" spans="6:6" x14ac:dyDescent="0.15">
      <c r="F1253" t="s">
        <v>1699</v>
      </c>
    </row>
    <row r="1254" spans="6:6" x14ac:dyDescent="0.15">
      <c r="F1254" t="s">
        <v>1700</v>
      </c>
    </row>
    <row r="1255" spans="6:6" x14ac:dyDescent="0.15">
      <c r="F1255" t="s">
        <v>1701</v>
      </c>
    </row>
    <row r="1256" spans="6:6" x14ac:dyDescent="0.15">
      <c r="F1256" t="s">
        <v>1702</v>
      </c>
    </row>
    <row r="1257" spans="6:6" x14ac:dyDescent="0.15">
      <c r="F1257" t="s">
        <v>1703</v>
      </c>
    </row>
    <row r="1258" spans="6:6" x14ac:dyDescent="0.15">
      <c r="F1258" t="s">
        <v>1704</v>
      </c>
    </row>
    <row r="1259" spans="6:6" x14ac:dyDescent="0.15">
      <c r="F1259" t="s">
        <v>1705</v>
      </c>
    </row>
    <row r="1260" spans="6:6" x14ac:dyDescent="0.15">
      <c r="F1260" t="s">
        <v>1706</v>
      </c>
    </row>
    <row r="1261" spans="6:6" x14ac:dyDescent="0.15">
      <c r="F1261" t="s">
        <v>1707</v>
      </c>
    </row>
    <row r="1262" spans="6:6" x14ac:dyDescent="0.15">
      <c r="F1262" t="s">
        <v>1708</v>
      </c>
    </row>
    <row r="1263" spans="6:6" x14ac:dyDescent="0.15">
      <c r="F1263" t="s">
        <v>1709</v>
      </c>
    </row>
    <row r="1264" spans="6:6" x14ac:dyDescent="0.15">
      <c r="F1264" t="s">
        <v>1710</v>
      </c>
    </row>
    <row r="1265" spans="6:6" x14ac:dyDescent="0.15">
      <c r="F1265" t="s">
        <v>1711</v>
      </c>
    </row>
    <row r="1266" spans="6:6" x14ac:dyDescent="0.15">
      <c r="F1266" t="s">
        <v>1712</v>
      </c>
    </row>
    <row r="1267" spans="6:6" x14ac:dyDescent="0.15">
      <c r="F1267" t="s">
        <v>1713</v>
      </c>
    </row>
    <row r="1268" spans="6:6" x14ac:dyDescent="0.15">
      <c r="F1268" t="s">
        <v>1714</v>
      </c>
    </row>
    <row r="1269" spans="6:6" x14ac:dyDescent="0.15">
      <c r="F1269" t="s">
        <v>1715</v>
      </c>
    </row>
    <row r="1270" spans="6:6" x14ac:dyDescent="0.15">
      <c r="F1270" t="s">
        <v>1716</v>
      </c>
    </row>
    <row r="1271" spans="6:6" x14ac:dyDescent="0.15">
      <c r="F1271" t="s">
        <v>1717</v>
      </c>
    </row>
    <row r="1272" spans="6:6" x14ac:dyDescent="0.15">
      <c r="F1272" t="s">
        <v>1718</v>
      </c>
    </row>
    <row r="1273" spans="6:6" x14ac:dyDescent="0.15">
      <c r="F1273" t="s">
        <v>1719</v>
      </c>
    </row>
    <row r="1274" spans="6:6" x14ac:dyDescent="0.15">
      <c r="F1274" t="s">
        <v>1720</v>
      </c>
    </row>
    <row r="1275" spans="6:6" x14ac:dyDescent="0.15">
      <c r="F1275" t="s">
        <v>1721</v>
      </c>
    </row>
    <row r="1276" spans="6:6" x14ac:dyDescent="0.15">
      <c r="F1276" t="s">
        <v>1722</v>
      </c>
    </row>
    <row r="1277" spans="6:6" x14ac:dyDescent="0.15">
      <c r="F1277" t="s">
        <v>1723</v>
      </c>
    </row>
    <row r="1278" spans="6:6" x14ac:dyDescent="0.15">
      <c r="F1278" t="s">
        <v>1724</v>
      </c>
    </row>
    <row r="1279" spans="6:6" x14ac:dyDescent="0.15">
      <c r="F1279" t="s">
        <v>1725</v>
      </c>
    </row>
    <row r="1280" spans="6:6" x14ac:dyDescent="0.15">
      <c r="F1280" t="s">
        <v>1726</v>
      </c>
    </row>
    <row r="1281" spans="6:6" x14ac:dyDescent="0.15">
      <c r="F1281" t="s">
        <v>1727</v>
      </c>
    </row>
    <row r="1282" spans="6:6" x14ac:dyDescent="0.15">
      <c r="F1282" t="s">
        <v>1728</v>
      </c>
    </row>
    <row r="1283" spans="6:6" x14ac:dyDescent="0.15">
      <c r="F1283" t="s">
        <v>1729</v>
      </c>
    </row>
    <row r="1284" spans="6:6" x14ac:dyDescent="0.15">
      <c r="F1284" t="s">
        <v>1730</v>
      </c>
    </row>
    <row r="1285" spans="6:6" x14ac:dyDescent="0.15">
      <c r="F1285" t="s">
        <v>1731</v>
      </c>
    </row>
    <row r="1286" spans="6:6" x14ac:dyDescent="0.15">
      <c r="F1286" t="s">
        <v>1732</v>
      </c>
    </row>
    <row r="1287" spans="6:6" x14ac:dyDescent="0.15">
      <c r="F1287" t="s">
        <v>1733</v>
      </c>
    </row>
    <row r="1288" spans="6:6" x14ac:dyDescent="0.15">
      <c r="F1288" t="s">
        <v>1734</v>
      </c>
    </row>
    <row r="1289" spans="6:6" x14ac:dyDescent="0.15">
      <c r="F1289" t="s">
        <v>1735</v>
      </c>
    </row>
    <row r="1290" spans="6:6" x14ac:dyDescent="0.15">
      <c r="F1290" t="s">
        <v>1736</v>
      </c>
    </row>
    <row r="1291" spans="6:6" x14ac:dyDescent="0.15">
      <c r="F1291" t="s">
        <v>1737</v>
      </c>
    </row>
    <row r="1292" spans="6:6" x14ac:dyDescent="0.15">
      <c r="F1292" t="s">
        <v>1738</v>
      </c>
    </row>
    <row r="1293" spans="6:6" x14ac:dyDescent="0.15">
      <c r="F1293" t="s">
        <v>1739</v>
      </c>
    </row>
    <row r="1294" spans="6:6" x14ac:dyDescent="0.15">
      <c r="F1294" t="s">
        <v>1740</v>
      </c>
    </row>
    <row r="1295" spans="6:6" x14ac:dyDescent="0.15">
      <c r="F1295" t="s">
        <v>1741</v>
      </c>
    </row>
    <row r="1296" spans="6:6" x14ac:dyDescent="0.15">
      <c r="F1296" t="s">
        <v>1742</v>
      </c>
    </row>
    <row r="1297" spans="6:6" x14ac:dyDescent="0.15">
      <c r="F1297" t="s">
        <v>1743</v>
      </c>
    </row>
    <row r="1298" spans="6:6" x14ac:dyDescent="0.15">
      <c r="F1298" t="s">
        <v>1744</v>
      </c>
    </row>
    <row r="1299" spans="6:6" x14ac:dyDescent="0.15">
      <c r="F1299" t="s">
        <v>1745</v>
      </c>
    </row>
    <row r="1300" spans="6:6" x14ac:dyDescent="0.15">
      <c r="F1300" t="s">
        <v>1746</v>
      </c>
    </row>
    <row r="1301" spans="6:6" x14ac:dyDescent="0.15">
      <c r="F1301" t="s">
        <v>1747</v>
      </c>
    </row>
    <row r="1302" spans="6:6" x14ac:dyDescent="0.15">
      <c r="F1302" t="s">
        <v>1748</v>
      </c>
    </row>
    <row r="1303" spans="6:6" x14ac:dyDescent="0.15">
      <c r="F1303" t="s">
        <v>1749</v>
      </c>
    </row>
    <row r="1304" spans="6:6" x14ac:dyDescent="0.15">
      <c r="F1304" t="s">
        <v>1750</v>
      </c>
    </row>
    <row r="1305" spans="6:6" x14ac:dyDescent="0.15">
      <c r="F1305" t="s">
        <v>1751</v>
      </c>
    </row>
    <row r="1306" spans="6:6" x14ac:dyDescent="0.15">
      <c r="F1306" t="s">
        <v>1752</v>
      </c>
    </row>
    <row r="1307" spans="6:6" x14ac:dyDescent="0.15">
      <c r="F1307" t="s">
        <v>1753</v>
      </c>
    </row>
    <row r="1308" spans="6:6" x14ac:dyDescent="0.15">
      <c r="F1308" t="s">
        <v>44</v>
      </c>
    </row>
    <row r="1309" spans="6:6" x14ac:dyDescent="0.15">
      <c r="F1309" t="s">
        <v>1754</v>
      </c>
    </row>
    <row r="1310" spans="6:6" x14ac:dyDescent="0.15">
      <c r="F1310" t="s">
        <v>42</v>
      </c>
    </row>
    <row r="1311" spans="6:6" x14ac:dyDescent="0.15">
      <c r="F1311" t="s">
        <v>1755</v>
      </c>
    </row>
    <row r="1312" spans="6:6" x14ac:dyDescent="0.15">
      <c r="F1312" t="s">
        <v>1756</v>
      </c>
    </row>
    <row r="1313" spans="6:6" x14ac:dyDescent="0.15">
      <c r="F1313" t="s">
        <v>1757</v>
      </c>
    </row>
    <row r="1314" spans="6:6" x14ac:dyDescent="0.15">
      <c r="F1314" t="s">
        <v>1758</v>
      </c>
    </row>
    <row r="1315" spans="6:6" x14ac:dyDescent="0.15">
      <c r="F1315" t="s">
        <v>1759</v>
      </c>
    </row>
    <row r="1316" spans="6:6" x14ac:dyDescent="0.15">
      <c r="F1316" t="s">
        <v>1760</v>
      </c>
    </row>
    <row r="1317" spans="6:6" x14ac:dyDescent="0.15">
      <c r="F1317" t="s">
        <v>202</v>
      </c>
    </row>
    <row r="1318" spans="6:6" x14ac:dyDescent="0.15">
      <c r="F1318" t="s">
        <v>1761</v>
      </c>
    </row>
    <row r="1319" spans="6:6" x14ac:dyDescent="0.15">
      <c r="F1319" t="s">
        <v>1762</v>
      </c>
    </row>
    <row r="1320" spans="6:6" x14ac:dyDescent="0.15">
      <c r="F1320" t="s">
        <v>1763</v>
      </c>
    </row>
    <row r="1321" spans="6:6" x14ac:dyDescent="0.15">
      <c r="F1321" t="s">
        <v>1764</v>
      </c>
    </row>
    <row r="1322" spans="6:6" x14ac:dyDescent="0.15">
      <c r="F1322" t="s">
        <v>1765</v>
      </c>
    </row>
    <row r="1323" spans="6:6" x14ac:dyDescent="0.15">
      <c r="F1323" t="s">
        <v>1766</v>
      </c>
    </row>
    <row r="1324" spans="6:6" x14ac:dyDescent="0.15">
      <c r="F1324" t="s">
        <v>1767</v>
      </c>
    </row>
    <row r="1325" spans="6:6" x14ac:dyDescent="0.15">
      <c r="F1325" t="s">
        <v>1768</v>
      </c>
    </row>
    <row r="1326" spans="6:6" x14ac:dyDescent="0.15">
      <c r="F1326" t="s">
        <v>1769</v>
      </c>
    </row>
    <row r="1327" spans="6:6" x14ac:dyDescent="0.15">
      <c r="F1327" t="s">
        <v>1770</v>
      </c>
    </row>
    <row r="1328" spans="6:6" x14ac:dyDescent="0.15">
      <c r="F1328" t="s">
        <v>1771</v>
      </c>
    </row>
    <row r="1329" spans="6:6" x14ac:dyDescent="0.15">
      <c r="F1329" t="s">
        <v>1772</v>
      </c>
    </row>
    <row r="1330" spans="6:6" x14ac:dyDescent="0.15">
      <c r="F1330" t="s">
        <v>1773</v>
      </c>
    </row>
    <row r="1331" spans="6:6" x14ac:dyDescent="0.15">
      <c r="F1331" t="s">
        <v>1774</v>
      </c>
    </row>
    <row r="1332" spans="6:6" x14ac:dyDescent="0.15">
      <c r="F1332" t="s">
        <v>1775</v>
      </c>
    </row>
    <row r="1333" spans="6:6" x14ac:dyDescent="0.15">
      <c r="F1333" t="s">
        <v>1776</v>
      </c>
    </row>
    <row r="1334" spans="6:6" x14ac:dyDescent="0.15">
      <c r="F1334" t="s">
        <v>1777</v>
      </c>
    </row>
    <row r="1335" spans="6:6" x14ac:dyDescent="0.15">
      <c r="F1335" t="s">
        <v>1778</v>
      </c>
    </row>
    <row r="1336" spans="6:6" x14ac:dyDescent="0.15">
      <c r="F1336" t="s">
        <v>1779</v>
      </c>
    </row>
    <row r="1337" spans="6:6" x14ac:dyDescent="0.15">
      <c r="F1337" t="s">
        <v>1780</v>
      </c>
    </row>
    <row r="1338" spans="6:6" x14ac:dyDescent="0.15">
      <c r="F1338" t="s">
        <v>1781</v>
      </c>
    </row>
    <row r="1339" spans="6:6" x14ac:dyDescent="0.15">
      <c r="F1339" t="s">
        <v>1782</v>
      </c>
    </row>
    <row r="1340" spans="6:6" x14ac:dyDescent="0.15">
      <c r="F1340" t="s">
        <v>1783</v>
      </c>
    </row>
    <row r="1341" spans="6:6" x14ac:dyDescent="0.15">
      <c r="F1341" t="s">
        <v>1784</v>
      </c>
    </row>
    <row r="1342" spans="6:6" x14ac:dyDescent="0.15">
      <c r="F1342" t="s">
        <v>1785</v>
      </c>
    </row>
    <row r="1343" spans="6:6" x14ac:dyDescent="0.15">
      <c r="F1343" t="s">
        <v>936</v>
      </c>
    </row>
    <row r="1344" spans="6:6" x14ac:dyDescent="0.15">
      <c r="F1344" t="s">
        <v>1786</v>
      </c>
    </row>
    <row r="1345" spans="6:6" x14ac:dyDescent="0.15">
      <c r="F1345" t="s">
        <v>1787</v>
      </c>
    </row>
    <row r="1346" spans="6:6" x14ac:dyDescent="0.15">
      <c r="F1346" t="s">
        <v>1788</v>
      </c>
    </row>
    <row r="1347" spans="6:6" x14ac:dyDescent="0.15">
      <c r="F1347" t="s">
        <v>1789</v>
      </c>
    </row>
    <row r="1348" spans="6:6" x14ac:dyDescent="0.15">
      <c r="F1348" t="s">
        <v>1790</v>
      </c>
    </row>
    <row r="1349" spans="6:6" x14ac:dyDescent="0.15">
      <c r="F1349" t="s">
        <v>69</v>
      </c>
    </row>
    <row r="1350" spans="6:6" x14ac:dyDescent="0.15">
      <c r="F1350" t="s">
        <v>1791</v>
      </c>
    </row>
    <row r="1351" spans="6:6" x14ac:dyDescent="0.15">
      <c r="F1351" t="s">
        <v>1792</v>
      </c>
    </row>
    <row r="1352" spans="6:6" x14ac:dyDescent="0.15">
      <c r="F1352" t="s">
        <v>1793</v>
      </c>
    </row>
    <row r="1353" spans="6:6" x14ac:dyDescent="0.15">
      <c r="F1353" t="s">
        <v>1794</v>
      </c>
    </row>
    <row r="1354" spans="6:6" x14ac:dyDescent="0.15">
      <c r="F1354" t="s">
        <v>1795</v>
      </c>
    </row>
    <row r="1355" spans="6:6" x14ac:dyDescent="0.15">
      <c r="F1355" t="s">
        <v>112</v>
      </c>
    </row>
    <row r="1356" spans="6:6" x14ac:dyDescent="0.15">
      <c r="F1356" t="s">
        <v>1796</v>
      </c>
    </row>
    <row r="1357" spans="6:6" x14ac:dyDescent="0.15">
      <c r="F1357" t="s">
        <v>1797</v>
      </c>
    </row>
    <row r="1358" spans="6:6" x14ac:dyDescent="0.15">
      <c r="F1358" t="s">
        <v>1798</v>
      </c>
    </row>
    <row r="1359" spans="6:6" x14ac:dyDescent="0.15">
      <c r="F1359" t="s">
        <v>48</v>
      </c>
    </row>
    <row r="1360" spans="6:6" x14ac:dyDescent="0.15">
      <c r="F1360" t="s">
        <v>1799</v>
      </c>
    </row>
    <row r="1361" spans="6:6" x14ac:dyDescent="0.15">
      <c r="F1361" t="s">
        <v>1800</v>
      </c>
    </row>
    <row r="1362" spans="6:6" x14ac:dyDescent="0.15">
      <c r="F1362" t="s">
        <v>1801</v>
      </c>
    </row>
    <row r="1363" spans="6:6" x14ac:dyDescent="0.15">
      <c r="F1363" t="s">
        <v>1802</v>
      </c>
    </row>
    <row r="1364" spans="6:6" x14ac:dyDescent="0.15">
      <c r="F1364" t="s">
        <v>1803</v>
      </c>
    </row>
    <row r="1365" spans="6:6" x14ac:dyDescent="0.15">
      <c r="F1365" t="s">
        <v>1804</v>
      </c>
    </row>
    <row r="1366" spans="6:6" x14ac:dyDescent="0.15">
      <c r="F1366" t="s">
        <v>1805</v>
      </c>
    </row>
    <row r="1367" spans="6:6" x14ac:dyDescent="0.15">
      <c r="F1367" t="s">
        <v>1806</v>
      </c>
    </row>
    <row r="1368" spans="6:6" x14ac:dyDescent="0.15">
      <c r="F1368" t="s">
        <v>1807</v>
      </c>
    </row>
    <row r="1369" spans="6:6" x14ac:dyDescent="0.15">
      <c r="F1369" t="s">
        <v>1808</v>
      </c>
    </row>
    <row r="1370" spans="6:6" x14ac:dyDescent="0.15">
      <c r="F1370" t="s">
        <v>1809</v>
      </c>
    </row>
    <row r="1371" spans="6:6" x14ac:dyDescent="0.15">
      <c r="F1371" t="s">
        <v>1810</v>
      </c>
    </row>
    <row r="1372" spans="6:6" x14ac:dyDescent="0.15">
      <c r="F1372" t="s">
        <v>1811</v>
      </c>
    </row>
    <row r="1373" spans="6:6" x14ac:dyDescent="0.15">
      <c r="F1373" t="s">
        <v>1812</v>
      </c>
    </row>
    <row r="1374" spans="6:6" x14ac:dyDescent="0.15">
      <c r="F1374" t="s">
        <v>4</v>
      </c>
    </row>
    <row r="1375" spans="6:6" x14ac:dyDescent="0.15">
      <c r="F1375" t="s">
        <v>1813</v>
      </c>
    </row>
    <row r="1376" spans="6:6" x14ac:dyDescent="0.15">
      <c r="F1376" t="s">
        <v>1814</v>
      </c>
    </row>
    <row r="1377" spans="6:6" x14ac:dyDescent="0.15">
      <c r="F1377" t="s">
        <v>1815</v>
      </c>
    </row>
    <row r="1378" spans="6:6" x14ac:dyDescent="0.15">
      <c r="F1378" t="s">
        <v>1816</v>
      </c>
    </row>
    <row r="1379" spans="6:6" x14ac:dyDescent="0.15">
      <c r="F1379" t="s">
        <v>1817</v>
      </c>
    </row>
    <row r="1380" spans="6:6" x14ac:dyDescent="0.15">
      <c r="F1380" t="s">
        <v>1818</v>
      </c>
    </row>
    <row r="1381" spans="6:6" x14ac:dyDescent="0.15">
      <c r="F1381" t="s">
        <v>1819</v>
      </c>
    </row>
    <row r="1382" spans="6:6" x14ac:dyDescent="0.15">
      <c r="F1382" t="s">
        <v>1820</v>
      </c>
    </row>
    <row r="1383" spans="6:6" x14ac:dyDescent="0.15">
      <c r="F1383" t="s">
        <v>1821</v>
      </c>
    </row>
    <row r="1384" spans="6:6" x14ac:dyDescent="0.15">
      <c r="F1384" t="s">
        <v>1822</v>
      </c>
    </row>
    <row r="1385" spans="6:6" x14ac:dyDescent="0.15">
      <c r="F1385" t="s">
        <v>1823</v>
      </c>
    </row>
    <row r="1386" spans="6:6" x14ac:dyDescent="0.15">
      <c r="F1386" t="s">
        <v>1824</v>
      </c>
    </row>
    <row r="1387" spans="6:6" x14ac:dyDescent="0.15">
      <c r="F1387" t="s">
        <v>1825</v>
      </c>
    </row>
    <row r="1388" spans="6:6" x14ac:dyDescent="0.15">
      <c r="F1388" t="s">
        <v>1826</v>
      </c>
    </row>
    <row r="1389" spans="6:6" x14ac:dyDescent="0.15">
      <c r="F1389" t="s">
        <v>1827</v>
      </c>
    </row>
    <row r="1390" spans="6:6" x14ac:dyDescent="0.15">
      <c r="F1390" t="s">
        <v>1828</v>
      </c>
    </row>
    <row r="1391" spans="6:6" x14ac:dyDescent="0.15">
      <c r="F1391" t="s">
        <v>1829</v>
      </c>
    </row>
    <row r="1392" spans="6:6" x14ac:dyDescent="0.15">
      <c r="F1392" t="s">
        <v>1830</v>
      </c>
    </row>
    <row r="1393" spans="6:6" x14ac:dyDescent="0.15">
      <c r="F1393" t="s">
        <v>1831</v>
      </c>
    </row>
    <row r="1394" spans="6:6" x14ac:dyDescent="0.15">
      <c r="F1394" t="s">
        <v>1832</v>
      </c>
    </row>
    <row r="1395" spans="6:6" x14ac:dyDescent="0.15">
      <c r="F1395" t="s">
        <v>1833</v>
      </c>
    </row>
    <row r="1396" spans="6:6" x14ac:dyDescent="0.15">
      <c r="F1396" t="s">
        <v>1834</v>
      </c>
    </row>
    <row r="1397" spans="6:6" x14ac:dyDescent="0.15">
      <c r="F1397" t="s">
        <v>1835</v>
      </c>
    </row>
    <row r="1398" spans="6:6" x14ac:dyDescent="0.15">
      <c r="F1398" t="s">
        <v>1836</v>
      </c>
    </row>
    <row r="1399" spans="6:6" x14ac:dyDescent="0.15">
      <c r="F1399" t="s">
        <v>1837</v>
      </c>
    </row>
    <row r="1400" spans="6:6" x14ac:dyDescent="0.15">
      <c r="F1400" t="s">
        <v>1838</v>
      </c>
    </row>
    <row r="1401" spans="6:6" x14ac:dyDescent="0.15">
      <c r="F1401" t="s">
        <v>1839</v>
      </c>
    </row>
    <row r="1402" spans="6:6" x14ac:dyDescent="0.15">
      <c r="F1402" t="s">
        <v>1840</v>
      </c>
    </row>
    <row r="1403" spans="6:6" x14ac:dyDescent="0.15">
      <c r="F1403" t="s">
        <v>1841</v>
      </c>
    </row>
    <row r="1404" spans="6:6" x14ac:dyDescent="0.15">
      <c r="F1404" t="s">
        <v>1842</v>
      </c>
    </row>
    <row r="1405" spans="6:6" x14ac:dyDescent="0.15">
      <c r="F1405" t="s">
        <v>1843</v>
      </c>
    </row>
    <row r="1406" spans="6:6" x14ac:dyDescent="0.15">
      <c r="F1406" t="s">
        <v>1844</v>
      </c>
    </row>
    <row r="1407" spans="6:6" x14ac:dyDescent="0.15">
      <c r="F1407" t="s">
        <v>1845</v>
      </c>
    </row>
    <row r="1408" spans="6:6" x14ac:dyDescent="0.15">
      <c r="F1408" t="s">
        <v>1846</v>
      </c>
    </row>
    <row r="1409" spans="6:6" x14ac:dyDescent="0.15">
      <c r="F1409" t="s">
        <v>1847</v>
      </c>
    </row>
    <row r="1410" spans="6:6" x14ac:dyDescent="0.15">
      <c r="F1410" t="s">
        <v>1848</v>
      </c>
    </row>
    <row r="1411" spans="6:6" x14ac:dyDescent="0.15">
      <c r="F1411" t="s">
        <v>1849</v>
      </c>
    </row>
    <row r="1412" spans="6:6" x14ac:dyDescent="0.15">
      <c r="F1412" t="s">
        <v>1850</v>
      </c>
    </row>
    <row r="1413" spans="6:6" x14ac:dyDescent="0.15">
      <c r="F1413" t="s">
        <v>1851</v>
      </c>
    </row>
    <row r="1414" spans="6:6" x14ac:dyDescent="0.15">
      <c r="F1414" t="s">
        <v>1852</v>
      </c>
    </row>
    <row r="1415" spans="6:6" x14ac:dyDescent="0.15">
      <c r="F1415" t="s">
        <v>1853</v>
      </c>
    </row>
    <row r="1416" spans="6:6" x14ac:dyDescent="0.15">
      <c r="F1416" t="s">
        <v>1854</v>
      </c>
    </row>
    <row r="1417" spans="6:6" x14ac:dyDescent="0.15">
      <c r="F1417" t="s">
        <v>1855</v>
      </c>
    </row>
    <row r="1418" spans="6:6" x14ac:dyDescent="0.15">
      <c r="F1418" t="s">
        <v>1856</v>
      </c>
    </row>
    <row r="1419" spans="6:6" x14ac:dyDescent="0.15">
      <c r="F1419" t="s">
        <v>1857</v>
      </c>
    </row>
    <row r="1420" spans="6:6" x14ac:dyDescent="0.15">
      <c r="F1420" t="s">
        <v>1858</v>
      </c>
    </row>
    <row r="1421" spans="6:6" x14ac:dyDescent="0.15">
      <c r="F1421" t="s">
        <v>1859</v>
      </c>
    </row>
    <row r="1422" spans="6:6" x14ac:dyDescent="0.15">
      <c r="F1422" t="s">
        <v>989</v>
      </c>
    </row>
    <row r="1423" spans="6:6" x14ac:dyDescent="0.15">
      <c r="F1423" t="s">
        <v>1860</v>
      </c>
    </row>
    <row r="1424" spans="6:6" x14ac:dyDescent="0.15">
      <c r="F1424" t="s">
        <v>1861</v>
      </c>
    </row>
    <row r="1425" spans="6:6" x14ac:dyDescent="0.15">
      <c r="F1425" t="s">
        <v>1862</v>
      </c>
    </row>
    <row r="1426" spans="6:6" x14ac:dyDescent="0.15">
      <c r="F1426" t="s">
        <v>1863</v>
      </c>
    </row>
    <row r="1427" spans="6:6" x14ac:dyDescent="0.15">
      <c r="F1427" t="s">
        <v>96</v>
      </c>
    </row>
    <row r="1428" spans="6:6" x14ac:dyDescent="0.15">
      <c r="F1428" t="s">
        <v>1864</v>
      </c>
    </row>
    <row r="1429" spans="6:6" x14ac:dyDescent="0.15">
      <c r="F1429" t="s">
        <v>1865</v>
      </c>
    </row>
    <row r="1430" spans="6:6" x14ac:dyDescent="0.15">
      <c r="F1430" t="s">
        <v>1866</v>
      </c>
    </row>
    <row r="1431" spans="6:6" x14ac:dyDescent="0.15">
      <c r="F1431" t="s">
        <v>1867</v>
      </c>
    </row>
    <row r="1432" spans="6:6" x14ac:dyDescent="0.15">
      <c r="F1432" t="s">
        <v>1868</v>
      </c>
    </row>
    <row r="1433" spans="6:6" x14ac:dyDescent="0.15">
      <c r="F1433" t="s">
        <v>1869</v>
      </c>
    </row>
    <row r="1434" spans="6:6" x14ac:dyDescent="0.15">
      <c r="F1434" t="s">
        <v>1870</v>
      </c>
    </row>
    <row r="1435" spans="6:6" x14ac:dyDescent="0.15">
      <c r="F1435" t="s">
        <v>909</v>
      </c>
    </row>
    <row r="1436" spans="6:6" x14ac:dyDescent="0.15">
      <c r="F1436" t="s">
        <v>1871</v>
      </c>
    </row>
    <row r="1437" spans="6:6" x14ac:dyDescent="0.15">
      <c r="F1437" t="s">
        <v>1872</v>
      </c>
    </row>
    <row r="1438" spans="6:6" x14ac:dyDescent="0.15">
      <c r="F1438" t="s">
        <v>1873</v>
      </c>
    </row>
    <row r="1439" spans="6:6" x14ac:dyDescent="0.15">
      <c r="F1439" t="s">
        <v>1874</v>
      </c>
    </row>
    <row r="1440" spans="6:6" x14ac:dyDescent="0.15">
      <c r="F1440" t="s">
        <v>1875</v>
      </c>
    </row>
    <row r="1441" spans="6:6" x14ac:dyDescent="0.15">
      <c r="F1441" t="s">
        <v>1876</v>
      </c>
    </row>
    <row r="1442" spans="6:6" x14ac:dyDescent="0.15">
      <c r="F1442" t="s">
        <v>1877</v>
      </c>
    </row>
    <row r="1443" spans="6:6" x14ac:dyDescent="0.15">
      <c r="F1443" t="s">
        <v>1878</v>
      </c>
    </row>
    <row r="1444" spans="6:6" x14ac:dyDescent="0.15">
      <c r="F1444" t="s">
        <v>1879</v>
      </c>
    </row>
    <row r="1445" spans="6:6" x14ac:dyDescent="0.15">
      <c r="F1445" t="s">
        <v>1880</v>
      </c>
    </row>
    <row r="1446" spans="6:6" x14ac:dyDescent="0.15">
      <c r="F1446" t="s">
        <v>1881</v>
      </c>
    </row>
    <row r="1447" spans="6:6" x14ac:dyDescent="0.15">
      <c r="F1447" t="s">
        <v>1882</v>
      </c>
    </row>
    <row r="1448" spans="6:6" x14ac:dyDescent="0.15">
      <c r="F1448" t="s">
        <v>1883</v>
      </c>
    </row>
    <row r="1449" spans="6:6" x14ac:dyDescent="0.15">
      <c r="F1449" t="s">
        <v>1884</v>
      </c>
    </row>
    <row r="1450" spans="6:6" x14ac:dyDescent="0.15">
      <c r="F1450" t="s">
        <v>1885</v>
      </c>
    </row>
    <row r="1451" spans="6:6" x14ac:dyDescent="0.15">
      <c r="F1451" t="s">
        <v>1886</v>
      </c>
    </row>
    <row r="1452" spans="6:6" x14ac:dyDescent="0.15">
      <c r="F1452" t="s">
        <v>1887</v>
      </c>
    </row>
    <row r="1453" spans="6:6" x14ac:dyDescent="0.15">
      <c r="F1453" t="s">
        <v>1888</v>
      </c>
    </row>
    <row r="1454" spans="6:6" x14ac:dyDescent="0.15">
      <c r="F1454" t="s">
        <v>1889</v>
      </c>
    </row>
    <row r="1455" spans="6:6" x14ac:dyDescent="0.15">
      <c r="F1455" t="s">
        <v>1890</v>
      </c>
    </row>
    <row r="1456" spans="6:6" x14ac:dyDescent="0.15">
      <c r="F1456" t="s">
        <v>1891</v>
      </c>
    </row>
    <row r="1457" spans="6:6" x14ac:dyDescent="0.15">
      <c r="F1457" t="s">
        <v>1892</v>
      </c>
    </row>
    <row r="1458" spans="6:6" x14ac:dyDescent="0.15">
      <c r="F1458" t="s">
        <v>1893</v>
      </c>
    </row>
    <row r="1459" spans="6:6" x14ac:dyDescent="0.15">
      <c r="F1459" t="s">
        <v>1894</v>
      </c>
    </row>
    <row r="1460" spans="6:6" x14ac:dyDescent="0.15">
      <c r="F1460" t="s">
        <v>1895</v>
      </c>
    </row>
    <row r="1461" spans="6:6" x14ac:dyDescent="0.15">
      <c r="F1461" t="s">
        <v>1896</v>
      </c>
    </row>
    <row r="1462" spans="6:6" x14ac:dyDescent="0.15">
      <c r="F1462" t="s">
        <v>1897</v>
      </c>
    </row>
    <row r="1463" spans="6:6" x14ac:dyDescent="0.15">
      <c r="F1463" t="s">
        <v>1898</v>
      </c>
    </row>
    <row r="1464" spans="6:6" x14ac:dyDescent="0.15">
      <c r="F1464" t="s">
        <v>1899</v>
      </c>
    </row>
    <row r="1465" spans="6:6" x14ac:dyDescent="0.15">
      <c r="F1465" t="s">
        <v>1900</v>
      </c>
    </row>
    <row r="1466" spans="6:6" x14ac:dyDescent="0.15">
      <c r="F1466" t="s">
        <v>1901</v>
      </c>
    </row>
    <row r="1467" spans="6:6" x14ac:dyDescent="0.15">
      <c r="F1467" t="s">
        <v>1902</v>
      </c>
    </row>
    <row r="1468" spans="6:6" x14ac:dyDescent="0.15">
      <c r="F1468" t="s">
        <v>1903</v>
      </c>
    </row>
    <row r="1469" spans="6:6" x14ac:dyDescent="0.15">
      <c r="F1469" t="s">
        <v>1904</v>
      </c>
    </row>
    <row r="1470" spans="6:6" x14ac:dyDescent="0.15">
      <c r="F1470" t="s">
        <v>1905</v>
      </c>
    </row>
    <row r="1471" spans="6:6" x14ac:dyDescent="0.15">
      <c r="F1471" t="s">
        <v>1906</v>
      </c>
    </row>
    <row r="1472" spans="6:6" x14ac:dyDescent="0.15">
      <c r="F1472" t="s">
        <v>1907</v>
      </c>
    </row>
    <row r="1473" spans="6:6" x14ac:dyDescent="0.15">
      <c r="F1473" t="s">
        <v>1908</v>
      </c>
    </row>
    <row r="1474" spans="6:6" x14ac:dyDescent="0.15">
      <c r="F1474" t="s">
        <v>1909</v>
      </c>
    </row>
    <row r="1475" spans="6:6" x14ac:dyDescent="0.15">
      <c r="F1475" t="s">
        <v>1910</v>
      </c>
    </row>
    <row r="1476" spans="6:6" x14ac:dyDescent="0.15">
      <c r="F1476" t="s">
        <v>1911</v>
      </c>
    </row>
    <row r="1477" spans="6:6" x14ac:dyDescent="0.15">
      <c r="F1477" t="s">
        <v>1912</v>
      </c>
    </row>
    <row r="1478" spans="6:6" x14ac:dyDescent="0.15">
      <c r="F1478" t="s">
        <v>1913</v>
      </c>
    </row>
    <row r="1479" spans="6:6" x14ac:dyDescent="0.15">
      <c r="F1479" t="s">
        <v>1914</v>
      </c>
    </row>
    <row r="1480" spans="6:6" x14ac:dyDescent="0.15">
      <c r="F1480" t="s">
        <v>1915</v>
      </c>
    </row>
    <row r="1481" spans="6:6" x14ac:dyDescent="0.15">
      <c r="F1481" t="s">
        <v>1916</v>
      </c>
    </row>
    <row r="1482" spans="6:6" x14ac:dyDescent="0.15">
      <c r="F1482" t="s">
        <v>1917</v>
      </c>
    </row>
    <row r="1483" spans="6:6" x14ac:dyDescent="0.15">
      <c r="F1483" t="s">
        <v>1918</v>
      </c>
    </row>
    <row r="1484" spans="6:6" x14ac:dyDescent="0.15">
      <c r="F1484" t="s">
        <v>1919</v>
      </c>
    </row>
    <row r="1485" spans="6:6" x14ac:dyDescent="0.15">
      <c r="F1485" t="s">
        <v>1920</v>
      </c>
    </row>
    <row r="1486" spans="6:6" x14ac:dyDescent="0.15">
      <c r="F1486" t="s">
        <v>1921</v>
      </c>
    </row>
    <row r="1487" spans="6:6" x14ac:dyDescent="0.15">
      <c r="F1487" t="s">
        <v>1922</v>
      </c>
    </row>
    <row r="1488" spans="6:6" x14ac:dyDescent="0.15">
      <c r="F1488" t="s">
        <v>1923</v>
      </c>
    </row>
    <row r="1489" spans="6:6" x14ac:dyDescent="0.15">
      <c r="F1489" t="s">
        <v>1924</v>
      </c>
    </row>
    <row r="1490" spans="6:6" x14ac:dyDescent="0.15">
      <c r="F1490" t="s">
        <v>1925</v>
      </c>
    </row>
    <row r="1491" spans="6:6" x14ac:dyDescent="0.15">
      <c r="F1491" t="s">
        <v>1926</v>
      </c>
    </row>
    <row r="1492" spans="6:6" x14ac:dyDescent="0.15">
      <c r="F1492" t="s">
        <v>1927</v>
      </c>
    </row>
    <row r="1493" spans="6:6" x14ac:dyDescent="0.15">
      <c r="F1493" t="s">
        <v>1928</v>
      </c>
    </row>
    <row r="1494" spans="6:6" x14ac:dyDescent="0.15">
      <c r="F1494" t="s">
        <v>1929</v>
      </c>
    </row>
    <row r="1495" spans="6:6" x14ac:dyDescent="0.15">
      <c r="F1495" t="s">
        <v>1930</v>
      </c>
    </row>
    <row r="1496" spans="6:6" x14ac:dyDescent="0.15">
      <c r="F1496" t="s">
        <v>1931</v>
      </c>
    </row>
    <row r="1497" spans="6:6" x14ac:dyDescent="0.15">
      <c r="F1497" t="s">
        <v>1932</v>
      </c>
    </row>
    <row r="1498" spans="6:6" x14ac:dyDescent="0.15">
      <c r="F1498" t="s">
        <v>1933</v>
      </c>
    </row>
    <row r="1499" spans="6:6" x14ac:dyDescent="0.15">
      <c r="F1499" t="s">
        <v>1934</v>
      </c>
    </row>
    <row r="1500" spans="6:6" x14ac:dyDescent="0.15">
      <c r="F1500" t="s">
        <v>1935</v>
      </c>
    </row>
    <row r="1501" spans="6:6" x14ac:dyDescent="0.15">
      <c r="F1501" t="s">
        <v>1936</v>
      </c>
    </row>
    <row r="1502" spans="6:6" x14ac:dyDescent="0.15">
      <c r="F1502" t="s">
        <v>1937</v>
      </c>
    </row>
    <row r="1503" spans="6:6" x14ac:dyDescent="0.15">
      <c r="F1503" t="s">
        <v>1938</v>
      </c>
    </row>
    <row r="1504" spans="6:6" x14ac:dyDescent="0.15">
      <c r="F1504" t="s">
        <v>1939</v>
      </c>
    </row>
    <row r="1505" spans="6:6" x14ac:dyDescent="0.15">
      <c r="F1505" t="s">
        <v>1940</v>
      </c>
    </row>
    <row r="1506" spans="6:6" x14ac:dyDescent="0.15">
      <c r="F1506" t="s">
        <v>1941</v>
      </c>
    </row>
    <row r="1507" spans="6:6" x14ac:dyDescent="0.15">
      <c r="F1507" t="s">
        <v>1942</v>
      </c>
    </row>
    <row r="1508" spans="6:6" x14ac:dyDescent="0.15">
      <c r="F1508" t="s">
        <v>1943</v>
      </c>
    </row>
    <row r="1509" spans="6:6" x14ac:dyDescent="0.15">
      <c r="F1509" t="s">
        <v>1944</v>
      </c>
    </row>
    <row r="1510" spans="6:6" x14ac:dyDescent="0.15">
      <c r="F1510" t="s">
        <v>1945</v>
      </c>
    </row>
    <row r="1511" spans="6:6" x14ac:dyDescent="0.15">
      <c r="F1511" t="s">
        <v>1946</v>
      </c>
    </row>
    <row r="1512" spans="6:6" x14ac:dyDescent="0.15">
      <c r="F1512" t="s">
        <v>1947</v>
      </c>
    </row>
    <row r="1513" spans="6:6" x14ac:dyDescent="0.15">
      <c r="F1513" t="s">
        <v>1948</v>
      </c>
    </row>
    <row r="1514" spans="6:6" x14ac:dyDescent="0.15">
      <c r="F1514" t="s">
        <v>1949</v>
      </c>
    </row>
    <row r="1515" spans="6:6" x14ac:dyDescent="0.15">
      <c r="F1515" t="s">
        <v>1950</v>
      </c>
    </row>
    <row r="1516" spans="6:6" x14ac:dyDescent="0.15">
      <c r="F1516" t="s">
        <v>1951</v>
      </c>
    </row>
    <row r="1517" spans="6:6" x14ac:dyDescent="0.15">
      <c r="F1517" t="s">
        <v>1952</v>
      </c>
    </row>
    <row r="1518" spans="6:6" x14ac:dyDescent="0.15">
      <c r="F1518" t="s">
        <v>1953</v>
      </c>
    </row>
    <row r="1519" spans="6:6" x14ac:dyDescent="0.15">
      <c r="F1519" t="s">
        <v>1954</v>
      </c>
    </row>
    <row r="1520" spans="6:6" x14ac:dyDescent="0.15">
      <c r="F1520" t="s">
        <v>1955</v>
      </c>
    </row>
    <row r="1521" spans="6:6" x14ac:dyDescent="0.15">
      <c r="F1521" t="s">
        <v>1956</v>
      </c>
    </row>
    <row r="1522" spans="6:6" x14ac:dyDescent="0.15">
      <c r="F1522" t="s">
        <v>1957</v>
      </c>
    </row>
    <row r="1523" spans="6:6" x14ac:dyDescent="0.15">
      <c r="F1523" t="s">
        <v>1958</v>
      </c>
    </row>
    <row r="1524" spans="6:6" x14ac:dyDescent="0.15">
      <c r="F1524" t="s">
        <v>1959</v>
      </c>
    </row>
    <row r="1525" spans="6:6" x14ac:dyDescent="0.15">
      <c r="F1525" t="s">
        <v>1960</v>
      </c>
    </row>
    <row r="1526" spans="6:6" x14ac:dyDescent="0.15">
      <c r="F1526" t="s">
        <v>1961</v>
      </c>
    </row>
    <row r="1527" spans="6:6" x14ac:dyDescent="0.15">
      <c r="F1527" t="s">
        <v>1962</v>
      </c>
    </row>
    <row r="1528" spans="6:6" x14ac:dyDescent="0.15">
      <c r="F1528" t="s">
        <v>1963</v>
      </c>
    </row>
    <row r="1529" spans="6:6" x14ac:dyDescent="0.15">
      <c r="F1529" t="s">
        <v>1964</v>
      </c>
    </row>
    <row r="1530" spans="6:6" x14ac:dyDescent="0.15">
      <c r="F1530" t="s">
        <v>1965</v>
      </c>
    </row>
    <row r="1531" spans="6:6" x14ac:dyDescent="0.15">
      <c r="F1531" t="s">
        <v>1966</v>
      </c>
    </row>
    <row r="1532" spans="6:6" x14ac:dyDescent="0.15">
      <c r="F1532" t="s">
        <v>1967</v>
      </c>
    </row>
    <row r="1533" spans="6:6" x14ac:dyDescent="0.15">
      <c r="F1533" t="s">
        <v>1968</v>
      </c>
    </row>
    <row r="1534" spans="6:6" x14ac:dyDescent="0.15">
      <c r="F1534" t="s">
        <v>1969</v>
      </c>
    </row>
    <row r="1535" spans="6:6" x14ac:dyDescent="0.15">
      <c r="F1535" t="s">
        <v>1970</v>
      </c>
    </row>
    <row r="1536" spans="6:6" x14ac:dyDescent="0.15">
      <c r="F1536" t="s">
        <v>1971</v>
      </c>
    </row>
    <row r="1537" spans="6:6" x14ac:dyDescent="0.15">
      <c r="F1537" t="s">
        <v>1972</v>
      </c>
    </row>
    <row r="1538" spans="6:6" x14ac:dyDescent="0.15">
      <c r="F1538" t="s">
        <v>1973</v>
      </c>
    </row>
    <row r="1539" spans="6:6" x14ac:dyDescent="0.15">
      <c r="F1539" t="s">
        <v>1974</v>
      </c>
    </row>
    <row r="1540" spans="6:6" x14ac:dyDescent="0.15">
      <c r="F1540" t="s">
        <v>1975</v>
      </c>
    </row>
    <row r="1541" spans="6:6" x14ac:dyDescent="0.15">
      <c r="F1541" t="s">
        <v>1976</v>
      </c>
    </row>
    <row r="1542" spans="6:6" x14ac:dyDescent="0.15">
      <c r="F1542" t="s">
        <v>1977</v>
      </c>
    </row>
    <row r="1543" spans="6:6" x14ac:dyDescent="0.15">
      <c r="F1543" t="s">
        <v>1978</v>
      </c>
    </row>
    <row r="1544" spans="6:6" x14ac:dyDescent="0.15">
      <c r="F1544" t="s">
        <v>1979</v>
      </c>
    </row>
    <row r="1545" spans="6:6" x14ac:dyDescent="0.15">
      <c r="F1545" t="s">
        <v>1980</v>
      </c>
    </row>
    <row r="1546" spans="6:6" x14ac:dyDescent="0.15">
      <c r="F1546" t="s">
        <v>1981</v>
      </c>
    </row>
    <row r="1547" spans="6:6" x14ac:dyDescent="0.15">
      <c r="F1547" t="s">
        <v>1982</v>
      </c>
    </row>
    <row r="1548" spans="6:6" x14ac:dyDescent="0.15">
      <c r="F1548" t="s">
        <v>1983</v>
      </c>
    </row>
    <row r="1549" spans="6:6" x14ac:dyDescent="0.15">
      <c r="F1549" t="s">
        <v>1984</v>
      </c>
    </row>
    <row r="1550" spans="6:6" x14ac:dyDescent="0.15">
      <c r="F1550" t="s">
        <v>1985</v>
      </c>
    </row>
    <row r="1551" spans="6:6" x14ac:dyDescent="0.15">
      <c r="F1551" t="s">
        <v>1986</v>
      </c>
    </row>
    <row r="1552" spans="6:6" x14ac:dyDescent="0.15">
      <c r="F1552" t="s">
        <v>1987</v>
      </c>
    </row>
    <row r="1553" spans="6:6" x14ac:dyDescent="0.15">
      <c r="F1553" t="s">
        <v>1988</v>
      </c>
    </row>
    <row r="1554" spans="6:6" x14ac:dyDescent="0.15">
      <c r="F1554" t="s">
        <v>1989</v>
      </c>
    </row>
    <row r="1555" spans="6:6" x14ac:dyDescent="0.15">
      <c r="F1555" t="s">
        <v>1990</v>
      </c>
    </row>
    <row r="1556" spans="6:6" x14ac:dyDescent="0.15">
      <c r="F1556" t="s">
        <v>1991</v>
      </c>
    </row>
    <row r="1557" spans="6:6" x14ac:dyDescent="0.15">
      <c r="F1557" t="s">
        <v>1992</v>
      </c>
    </row>
    <row r="1558" spans="6:6" x14ac:dyDescent="0.15">
      <c r="F1558" t="s">
        <v>1993</v>
      </c>
    </row>
    <row r="1559" spans="6:6" x14ac:dyDescent="0.15">
      <c r="F1559" t="s">
        <v>1994</v>
      </c>
    </row>
    <row r="1560" spans="6:6" x14ac:dyDescent="0.15">
      <c r="F1560" t="s">
        <v>1995</v>
      </c>
    </row>
    <row r="1561" spans="6:6" x14ac:dyDescent="0.15">
      <c r="F1561" t="s">
        <v>1996</v>
      </c>
    </row>
    <row r="1562" spans="6:6" x14ac:dyDescent="0.15">
      <c r="F1562" t="s">
        <v>1997</v>
      </c>
    </row>
    <row r="1563" spans="6:6" x14ac:dyDescent="0.15">
      <c r="F1563" t="s">
        <v>1998</v>
      </c>
    </row>
    <row r="1564" spans="6:6" x14ac:dyDescent="0.15">
      <c r="F1564" t="s">
        <v>1999</v>
      </c>
    </row>
    <row r="1565" spans="6:6" x14ac:dyDescent="0.15">
      <c r="F1565" t="s">
        <v>2000</v>
      </c>
    </row>
    <row r="1566" spans="6:6" x14ac:dyDescent="0.15">
      <c r="F1566" t="s">
        <v>2001</v>
      </c>
    </row>
    <row r="1567" spans="6:6" x14ac:dyDescent="0.15">
      <c r="F1567" t="s">
        <v>2002</v>
      </c>
    </row>
    <row r="1568" spans="6:6" x14ac:dyDescent="0.15">
      <c r="F1568" t="s">
        <v>2003</v>
      </c>
    </row>
    <row r="1569" spans="6:6" x14ac:dyDescent="0.15">
      <c r="F1569" t="s">
        <v>2004</v>
      </c>
    </row>
    <row r="1570" spans="6:6" x14ac:dyDescent="0.15">
      <c r="F1570" t="s">
        <v>2005</v>
      </c>
    </row>
    <row r="1571" spans="6:6" x14ac:dyDescent="0.15">
      <c r="F1571" t="s">
        <v>2006</v>
      </c>
    </row>
    <row r="1572" spans="6:6" x14ac:dyDescent="0.15">
      <c r="F1572" t="s">
        <v>2007</v>
      </c>
    </row>
    <row r="1573" spans="6:6" x14ac:dyDescent="0.15">
      <c r="F1573" t="s">
        <v>2008</v>
      </c>
    </row>
    <row r="1574" spans="6:6" x14ac:dyDescent="0.15">
      <c r="F1574" t="s">
        <v>2009</v>
      </c>
    </row>
    <row r="1575" spans="6:6" x14ac:dyDescent="0.15">
      <c r="F1575" t="s">
        <v>134</v>
      </c>
    </row>
    <row r="1576" spans="6:6" x14ac:dyDescent="0.15">
      <c r="F1576" t="s">
        <v>2010</v>
      </c>
    </row>
    <row r="1577" spans="6:6" x14ac:dyDescent="0.15">
      <c r="F1577" t="s">
        <v>2011</v>
      </c>
    </row>
    <row r="1578" spans="6:6" x14ac:dyDescent="0.15">
      <c r="F1578" t="s">
        <v>2012</v>
      </c>
    </row>
    <row r="1579" spans="6:6" x14ac:dyDescent="0.15">
      <c r="F1579" t="s">
        <v>2013</v>
      </c>
    </row>
    <row r="1580" spans="6:6" x14ac:dyDescent="0.15">
      <c r="F1580" t="s">
        <v>2014</v>
      </c>
    </row>
    <row r="1581" spans="6:6" x14ac:dyDescent="0.15">
      <c r="F1581" t="s">
        <v>2015</v>
      </c>
    </row>
    <row r="1582" spans="6:6" x14ac:dyDescent="0.15">
      <c r="F1582" t="s">
        <v>2016</v>
      </c>
    </row>
    <row r="1583" spans="6:6" x14ac:dyDescent="0.15">
      <c r="F1583" t="s">
        <v>2017</v>
      </c>
    </row>
    <row r="1584" spans="6:6" x14ac:dyDescent="0.15">
      <c r="F1584" t="s">
        <v>2018</v>
      </c>
    </row>
    <row r="1585" spans="6:6" x14ac:dyDescent="0.15">
      <c r="F1585" t="s">
        <v>2019</v>
      </c>
    </row>
    <row r="1586" spans="6:6" x14ac:dyDescent="0.15">
      <c r="F1586" t="s">
        <v>2020</v>
      </c>
    </row>
    <row r="1587" spans="6:6" x14ac:dyDescent="0.15">
      <c r="F1587" t="s">
        <v>2021</v>
      </c>
    </row>
    <row r="1588" spans="6:6" x14ac:dyDescent="0.15">
      <c r="F1588" t="s">
        <v>2022</v>
      </c>
    </row>
    <row r="1589" spans="6:6" x14ac:dyDescent="0.15">
      <c r="F1589" t="s">
        <v>2023</v>
      </c>
    </row>
    <row r="1590" spans="6:6" x14ac:dyDescent="0.15">
      <c r="F1590" t="s">
        <v>2024</v>
      </c>
    </row>
    <row r="1591" spans="6:6" x14ac:dyDescent="0.15">
      <c r="F1591" t="s">
        <v>2025</v>
      </c>
    </row>
    <row r="1592" spans="6:6" x14ac:dyDescent="0.15">
      <c r="F1592" t="s">
        <v>2026</v>
      </c>
    </row>
    <row r="1593" spans="6:6" x14ac:dyDescent="0.15">
      <c r="F1593" t="s">
        <v>2027</v>
      </c>
    </row>
    <row r="1594" spans="6:6" x14ac:dyDescent="0.15">
      <c r="F1594" t="s">
        <v>2028</v>
      </c>
    </row>
    <row r="1595" spans="6:6" x14ac:dyDescent="0.15">
      <c r="F1595" t="s">
        <v>2029</v>
      </c>
    </row>
    <row r="1596" spans="6:6" x14ac:dyDescent="0.15">
      <c r="F1596" t="s">
        <v>2030</v>
      </c>
    </row>
    <row r="1597" spans="6:6" x14ac:dyDescent="0.15">
      <c r="F1597" t="s">
        <v>2031</v>
      </c>
    </row>
    <row r="1598" spans="6:6" x14ac:dyDescent="0.15">
      <c r="F1598" t="s">
        <v>2032</v>
      </c>
    </row>
    <row r="1599" spans="6:6" x14ac:dyDescent="0.15">
      <c r="F1599" t="s">
        <v>2033</v>
      </c>
    </row>
    <row r="1600" spans="6:6" x14ac:dyDescent="0.15">
      <c r="F1600" t="s">
        <v>946</v>
      </c>
    </row>
    <row r="1601" spans="6:6" x14ac:dyDescent="0.15">
      <c r="F1601" t="s">
        <v>2034</v>
      </c>
    </row>
    <row r="1602" spans="6:6" x14ac:dyDescent="0.15">
      <c r="F1602" t="s">
        <v>2035</v>
      </c>
    </row>
    <row r="1603" spans="6:6" x14ac:dyDescent="0.15">
      <c r="F1603" t="s">
        <v>2036</v>
      </c>
    </row>
    <row r="1604" spans="6:6" x14ac:dyDescent="0.15">
      <c r="F1604" t="s">
        <v>2037</v>
      </c>
    </row>
    <row r="1605" spans="6:6" x14ac:dyDescent="0.15">
      <c r="F1605" t="s">
        <v>2038</v>
      </c>
    </row>
    <row r="1606" spans="6:6" x14ac:dyDescent="0.15">
      <c r="F1606" t="s">
        <v>2039</v>
      </c>
    </row>
    <row r="1607" spans="6:6" x14ac:dyDescent="0.15">
      <c r="F1607" t="s">
        <v>2040</v>
      </c>
    </row>
    <row r="1608" spans="6:6" x14ac:dyDescent="0.15">
      <c r="F1608" t="s">
        <v>2041</v>
      </c>
    </row>
    <row r="1609" spans="6:6" x14ac:dyDescent="0.15">
      <c r="F1609" t="s">
        <v>2042</v>
      </c>
    </row>
    <row r="1610" spans="6:6" x14ac:dyDescent="0.15">
      <c r="F1610" t="s">
        <v>2043</v>
      </c>
    </row>
    <row r="1611" spans="6:6" x14ac:dyDescent="0.15">
      <c r="F1611" t="s">
        <v>2044</v>
      </c>
    </row>
    <row r="1612" spans="6:6" x14ac:dyDescent="0.15">
      <c r="F1612" t="s">
        <v>2045</v>
      </c>
    </row>
    <row r="1613" spans="6:6" x14ac:dyDescent="0.15">
      <c r="F1613" t="s">
        <v>2046</v>
      </c>
    </row>
    <row r="1614" spans="6:6" x14ac:dyDescent="0.15">
      <c r="F1614" t="s">
        <v>2047</v>
      </c>
    </row>
    <row r="1615" spans="6:6" x14ac:dyDescent="0.15">
      <c r="F1615" t="s">
        <v>2048</v>
      </c>
    </row>
    <row r="1616" spans="6:6" x14ac:dyDescent="0.15">
      <c r="F1616" t="s">
        <v>2049</v>
      </c>
    </row>
    <row r="1617" spans="6:6" x14ac:dyDescent="0.15">
      <c r="F1617" t="s">
        <v>2050</v>
      </c>
    </row>
    <row r="1618" spans="6:6" x14ac:dyDescent="0.15">
      <c r="F1618" t="s">
        <v>2051</v>
      </c>
    </row>
    <row r="1619" spans="6:6" x14ac:dyDescent="0.15">
      <c r="F1619" t="s">
        <v>2052</v>
      </c>
    </row>
    <row r="1620" spans="6:6" x14ac:dyDescent="0.15">
      <c r="F1620" t="s">
        <v>2053</v>
      </c>
    </row>
    <row r="1621" spans="6:6" x14ac:dyDescent="0.15">
      <c r="F1621" t="s">
        <v>2054</v>
      </c>
    </row>
    <row r="1622" spans="6:6" x14ac:dyDescent="0.15">
      <c r="F1622" t="s">
        <v>2055</v>
      </c>
    </row>
    <row r="1623" spans="6:6" x14ac:dyDescent="0.15">
      <c r="F1623" t="s">
        <v>2056</v>
      </c>
    </row>
    <row r="1624" spans="6:6" x14ac:dyDescent="0.15">
      <c r="F1624" t="s">
        <v>2057</v>
      </c>
    </row>
    <row r="1625" spans="6:6" x14ac:dyDescent="0.15">
      <c r="F1625" t="s">
        <v>2058</v>
      </c>
    </row>
    <row r="1626" spans="6:6" x14ac:dyDescent="0.15">
      <c r="F1626" t="s">
        <v>2059</v>
      </c>
    </row>
    <row r="1627" spans="6:6" x14ac:dyDescent="0.15">
      <c r="F1627" t="s">
        <v>2060</v>
      </c>
    </row>
    <row r="1628" spans="6:6" x14ac:dyDescent="0.15">
      <c r="F1628" t="s">
        <v>2061</v>
      </c>
    </row>
    <row r="1629" spans="6:6" x14ac:dyDescent="0.15">
      <c r="F1629" t="s">
        <v>2062</v>
      </c>
    </row>
    <row r="1630" spans="6:6" x14ac:dyDescent="0.15">
      <c r="F1630" t="s">
        <v>2063</v>
      </c>
    </row>
    <row r="1631" spans="6:6" x14ac:dyDescent="0.15">
      <c r="F1631" t="s">
        <v>2064</v>
      </c>
    </row>
    <row r="1632" spans="6:6" x14ac:dyDescent="0.15">
      <c r="F1632" t="s">
        <v>2065</v>
      </c>
    </row>
    <row r="1633" spans="6:6" x14ac:dyDescent="0.15">
      <c r="F1633" t="s">
        <v>2066</v>
      </c>
    </row>
    <row r="1634" spans="6:6" x14ac:dyDescent="0.15">
      <c r="F1634" t="s">
        <v>2067</v>
      </c>
    </row>
    <row r="1635" spans="6:6" x14ac:dyDescent="0.15">
      <c r="F1635" t="s">
        <v>2068</v>
      </c>
    </row>
    <row r="1636" spans="6:6" x14ac:dyDescent="0.15">
      <c r="F1636" t="s">
        <v>2069</v>
      </c>
    </row>
    <row r="1637" spans="6:6" x14ac:dyDescent="0.15">
      <c r="F1637" t="s">
        <v>2070</v>
      </c>
    </row>
    <row r="1638" spans="6:6" x14ac:dyDescent="0.15">
      <c r="F1638" t="s">
        <v>2071</v>
      </c>
    </row>
    <row r="1639" spans="6:6" x14ac:dyDescent="0.15">
      <c r="F1639" t="s">
        <v>2072</v>
      </c>
    </row>
    <row r="1640" spans="6:6" x14ac:dyDescent="0.15">
      <c r="F1640" t="s">
        <v>2073</v>
      </c>
    </row>
    <row r="1641" spans="6:6" x14ac:dyDescent="0.15">
      <c r="F1641" t="s">
        <v>2074</v>
      </c>
    </row>
    <row r="1642" spans="6:6" x14ac:dyDescent="0.15">
      <c r="F1642" t="s">
        <v>2075</v>
      </c>
    </row>
    <row r="1643" spans="6:6" x14ac:dyDescent="0.15">
      <c r="F1643" t="s">
        <v>2076</v>
      </c>
    </row>
    <row r="1644" spans="6:6" x14ac:dyDescent="0.15">
      <c r="F1644" t="s">
        <v>2077</v>
      </c>
    </row>
    <row r="1645" spans="6:6" x14ac:dyDescent="0.15">
      <c r="F1645" t="s">
        <v>2078</v>
      </c>
    </row>
    <row r="1646" spans="6:6" x14ac:dyDescent="0.15">
      <c r="F1646" t="s">
        <v>2079</v>
      </c>
    </row>
    <row r="1647" spans="6:6" x14ac:dyDescent="0.15">
      <c r="F1647" t="s">
        <v>2080</v>
      </c>
    </row>
    <row r="1648" spans="6:6" x14ac:dyDescent="0.15">
      <c r="F1648" t="s">
        <v>2081</v>
      </c>
    </row>
    <row r="1649" spans="6:6" x14ac:dyDescent="0.15">
      <c r="F1649" t="s">
        <v>2082</v>
      </c>
    </row>
    <row r="1650" spans="6:6" x14ac:dyDescent="0.15">
      <c r="F1650" t="s">
        <v>2083</v>
      </c>
    </row>
    <row r="1651" spans="6:6" x14ac:dyDescent="0.15">
      <c r="F1651" t="s">
        <v>2084</v>
      </c>
    </row>
    <row r="1652" spans="6:6" x14ac:dyDescent="0.15">
      <c r="F1652" t="s">
        <v>2085</v>
      </c>
    </row>
    <row r="1653" spans="6:6" x14ac:dyDescent="0.15">
      <c r="F1653" t="s">
        <v>2086</v>
      </c>
    </row>
    <row r="1654" spans="6:6" x14ac:dyDescent="0.15">
      <c r="F1654" t="s">
        <v>2087</v>
      </c>
    </row>
    <row r="1655" spans="6:6" x14ac:dyDescent="0.15">
      <c r="F1655" t="s">
        <v>2088</v>
      </c>
    </row>
    <row r="1656" spans="6:6" x14ac:dyDescent="0.15">
      <c r="F1656" t="s">
        <v>2089</v>
      </c>
    </row>
    <row r="1657" spans="6:6" x14ac:dyDescent="0.15">
      <c r="F1657" t="s">
        <v>2090</v>
      </c>
    </row>
    <row r="1658" spans="6:6" x14ac:dyDescent="0.15">
      <c r="F1658" t="s">
        <v>2091</v>
      </c>
    </row>
    <row r="1659" spans="6:6" x14ac:dyDescent="0.15">
      <c r="F1659" t="s">
        <v>2092</v>
      </c>
    </row>
    <row r="1660" spans="6:6" x14ac:dyDescent="0.15">
      <c r="F1660" t="s">
        <v>2093</v>
      </c>
    </row>
    <row r="1661" spans="6:6" x14ac:dyDescent="0.15">
      <c r="F1661" t="s">
        <v>2094</v>
      </c>
    </row>
    <row r="1662" spans="6:6" x14ac:dyDescent="0.15">
      <c r="F1662" t="s">
        <v>2095</v>
      </c>
    </row>
    <row r="1663" spans="6:6" x14ac:dyDescent="0.15">
      <c r="F1663" t="s">
        <v>2096</v>
      </c>
    </row>
    <row r="1664" spans="6:6" x14ac:dyDescent="0.15">
      <c r="F1664" t="s">
        <v>1006</v>
      </c>
    </row>
    <row r="1665" spans="6:6" x14ac:dyDescent="0.15">
      <c r="F1665" t="s">
        <v>2097</v>
      </c>
    </row>
    <row r="1666" spans="6:6" x14ac:dyDescent="0.15">
      <c r="F1666" t="s">
        <v>971</v>
      </c>
    </row>
    <row r="1667" spans="6:6" x14ac:dyDescent="0.15">
      <c r="F1667" t="s">
        <v>2098</v>
      </c>
    </row>
    <row r="1668" spans="6:6" x14ac:dyDescent="0.15">
      <c r="F1668" t="s">
        <v>2099</v>
      </c>
    </row>
    <row r="1669" spans="6:6" x14ac:dyDescent="0.15">
      <c r="F1669" t="s">
        <v>2100</v>
      </c>
    </row>
    <row r="1670" spans="6:6" x14ac:dyDescent="0.15">
      <c r="F1670" t="s">
        <v>2101</v>
      </c>
    </row>
    <row r="1671" spans="6:6" x14ac:dyDescent="0.15">
      <c r="F1671" t="s">
        <v>2102</v>
      </c>
    </row>
    <row r="1672" spans="6:6" x14ac:dyDescent="0.15">
      <c r="F1672" t="s">
        <v>2103</v>
      </c>
    </row>
    <row r="1673" spans="6:6" x14ac:dyDescent="0.15">
      <c r="F1673" t="s">
        <v>2104</v>
      </c>
    </row>
    <row r="1674" spans="6:6" x14ac:dyDescent="0.15">
      <c r="F1674" t="s">
        <v>2105</v>
      </c>
    </row>
    <row r="1675" spans="6:6" x14ac:dyDescent="0.15">
      <c r="F1675" t="s">
        <v>2106</v>
      </c>
    </row>
    <row r="1676" spans="6:6" x14ac:dyDescent="0.15">
      <c r="F1676" t="s">
        <v>2107</v>
      </c>
    </row>
    <row r="1677" spans="6:6" x14ac:dyDescent="0.15">
      <c r="F1677" t="s">
        <v>2108</v>
      </c>
    </row>
    <row r="1678" spans="6:6" x14ac:dyDescent="0.15">
      <c r="F1678" t="s">
        <v>2109</v>
      </c>
    </row>
    <row r="1679" spans="6:6" x14ac:dyDescent="0.15">
      <c r="F1679" t="s">
        <v>2110</v>
      </c>
    </row>
    <row r="1680" spans="6:6" x14ac:dyDescent="0.15">
      <c r="F1680" t="s">
        <v>2111</v>
      </c>
    </row>
    <row r="1681" spans="6:6" x14ac:dyDescent="0.15">
      <c r="F1681" t="s">
        <v>2112</v>
      </c>
    </row>
    <row r="1682" spans="6:6" x14ac:dyDescent="0.15">
      <c r="F1682" t="s">
        <v>2113</v>
      </c>
    </row>
    <row r="1683" spans="6:6" x14ac:dyDescent="0.15">
      <c r="F1683" t="s">
        <v>2114</v>
      </c>
    </row>
    <row r="1684" spans="6:6" x14ac:dyDescent="0.15">
      <c r="F1684" t="s">
        <v>2115</v>
      </c>
    </row>
    <row r="1685" spans="6:6" x14ac:dyDescent="0.15">
      <c r="F1685" t="s">
        <v>2116</v>
      </c>
    </row>
    <row r="1686" spans="6:6" x14ac:dyDescent="0.15">
      <c r="F1686" t="s">
        <v>2117</v>
      </c>
    </row>
    <row r="1687" spans="6:6" x14ac:dyDescent="0.15">
      <c r="F1687" t="s">
        <v>2118</v>
      </c>
    </row>
    <row r="1688" spans="6:6" x14ac:dyDescent="0.15">
      <c r="F1688" t="s">
        <v>2119</v>
      </c>
    </row>
    <row r="1689" spans="6:6" x14ac:dyDescent="0.15">
      <c r="F1689" t="s">
        <v>2120</v>
      </c>
    </row>
    <row r="1690" spans="6:6" x14ac:dyDescent="0.15">
      <c r="F1690" t="s">
        <v>2121</v>
      </c>
    </row>
    <row r="1691" spans="6:6" x14ac:dyDescent="0.15">
      <c r="F1691" t="s">
        <v>2122</v>
      </c>
    </row>
    <row r="1692" spans="6:6" x14ac:dyDescent="0.15">
      <c r="F1692" t="s">
        <v>2123</v>
      </c>
    </row>
    <row r="1693" spans="6:6" x14ac:dyDescent="0.15">
      <c r="F1693" t="s">
        <v>2124</v>
      </c>
    </row>
    <row r="1694" spans="6:6" x14ac:dyDescent="0.15">
      <c r="F1694" t="s">
        <v>2125</v>
      </c>
    </row>
    <row r="1695" spans="6:6" x14ac:dyDescent="0.15">
      <c r="F1695" t="s">
        <v>2126</v>
      </c>
    </row>
    <row r="1696" spans="6:6" x14ac:dyDescent="0.15">
      <c r="F1696" t="s">
        <v>2127</v>
      </c>
    </row>
    <row r="1697" spans="6:6" x14ac:dyDescent="0.15">
      <c r="F1697" t="s">
        <v>2128</v>
      </c>
    </row>
    <row r="1698" spans="6:6" x14ac:dyDescent="0.15">
      <c r="F1698" t="s">
        <v>2129</v>
      </c>
    </row>
    <row r="1699" spans="6:6" x14ac:dyDescent="0.15">
      <c r="F1699" t="s">
        <v>2130</v>
      </c>
    </row>
    <row r="1700" spans="6:6" x14ac:dyDescent="0.15">
      <c r="F1700" t="s">
        <v>2131</v>
      </c>
    </row>
    <row r="1701" spans="6:6" x14ac:dyDescent="0.15">
      <c r="F1701" t="s">
        <v>2132</v>
      </c>
    </row>
    <row r="1702" spans="6:6" x14ac:dyDescent="0.15">
      <c r="F1702" t="s">
        <v>2133</v>
      </c>
    </row>
    <row r="1703" spans="6:6" x14ac:dyDescent="0.15">
      <c r="F1703" t="s">
        <v>2134</v>
      </c>
    </row>
    <row r="1704" spans="6:6" x14ac:dyDescent="0.15">
      <c r="F1704" t="s">
        <v>2135</v>
      </c>
    </row>
    <row r="1705" spans="6:6" x14ac:dyDescent="0.15">
      <c r="F1705" t="s">
        <v>2136</v>
      </c>
    </row>
    <row r="1706" spans="6:6" x14ac:dyDescent="0.15">
      <c r="F1706" t="s">
        <v>2137</v>
      </c>
    </row>
    <row r="1707" spans="6:6" x14ac:dyDescent="0.15">
      <c r="F1707" t="s">
        <v>2138</v>
      </c>
    </row>
    <row r="1708" spans="6:6" x14ac:dyDescent="0.15">
      <c r="F1708" t="s">
        <v>2139</v>
      </c>
    </row>
    <row r="1709" spans="6:6" x14ac:dyDescent="0.15">
      <c r="F1709" t="s">
        <v>2140</v>
      </c>
    </row>
    <row r="1710" spans="6:6" x14ac:dyDescent="0.15">
      <c r="F1710" t="s">
        <v>2141</v>
      </c>
    </row>
    <row r="1711" spans="6:6" x14ac:dyDescent="0.15">
      <c r="F1711" t="s">
        <v>2142</v>
      </c>
    </row>
    <row r="1712" spans="6:6" x14ac:dyDescent="0.15">
      <c r="F1712" t="s">
        <v>2143</v>
      </c>
    </row>
    <row r="1713" spans="6:6" x14ac:dyDescent="0.15">
      <c r="F1713" t="s">
        <v>2144</v>
      </c>
    </row>
    <row r="1714" spans="6:6" x14ac:dyDescent="0.15">
      <c r="F1714" t="s">
        <v>2145</v>
      </c>
    </row>
    <row r="1715" spans="6:6" x14ac:dyDescent="0.15">
      <c r="F1715" t="s">
        <v>2146</v>
      </c>
    </row>
    <row r="1716" spans="6:6" x14ac:dyDescent="0.15">
      <c r="F1716" t="s">
        <v>2147</v>
      </c>
    </row>
    <row r="1717" spans="6:6" x14ac:dyDescent="0.15">
      <c r="F1717" t="s">
        <v>116</v>
      </c>
    </row>
    <row r="1718" spans="6:6" x14ac:dyDescent="0.15">
      <c r="F1718" t="s">
        <v>2148</v>
      </c>
    </row>
    <row r="1719" spans="6:6" x14ac:dyDescent="0.15">
      <c r="F1719" t="s">
        <v>2149</v>
      </c>
    </row>
    <row r="1720" spans="6:6" x14ac:dyDescent="0.15">
      <c r="F1720" t="s">
        <v>2150</v>
      </c>
    </row>
    <row r="1721" spans="6:6" x14ac:dyDescent="0.15">
      <c r="F1721" t="s">
        <v>2151</v>
      </c>
    </row>
    <row r="1722" spans="6:6" x14ac:dyDescent="0.15">
      <c r="F1722" t="s">
        <v>2152</v>
      </c>
    </row>
    <row r="1723" spans="6:6" x14ac:dyDescent="0.15">
      <c r="F1723" t="s">
        <v>2153</v>
      </c>
    </row>
    <row r="1724" spans="6:6" x14ac:dyDescent="0.15">
      <c r="F1724" t="s">
        <v>2154</v>
      </c>
    </row>
    <row r="1725" spans="6:6" x14ac:dyDescent="0.15">
      <c r="F1725" t="s">
        <v>2155</v>
      </c>
    </row>
    <row r="1726" spans="6:6" x14ac:dyDescent="0.15">
      <c r="F1726" t="s">
        <v>2156</v>
      </c>
    </row>
    <row r="1727" spans="6:6" x14ac:dyDescent="0.15">
      <c r="F1727" t="s">
        <v>2157</v>
      </c>
    </row>
    <row r="1728" spans="6:6" x14ac:dyDescent="0.15">
      <c r="F1728" t="s">
        <v>2158</v>
      </c>
    </row>
    <row r="1729" spans="6:6" x14ac:dyDescent="0.15">
      <c r="F1729" t="s">
        <v>2159</v>
      </c>
    </row>
    <row r="1730" spans="6:6" x14ac:dyDescent="0.15">
      <c r="F1730" t="s">
        <v>2160</v>
      </c>
    </row>
    <row r="1731" spans="6:6" x14ac:dyDescent="0.15">
      <c r="F1731" t="s">
        <v>2161</v>
      </c>
    </row>
    <row r="1732" spans="6:6" x14ac:dyDescent="0.15">
      <c r="F1732" t="s">
        <v>2162</v>
      </c>
    </row>
    <row r="1733" spans="6:6" x14ac:dyDescent="0.15">
      <c r="F1733" t="s">
        <v>2163</v>
      </c>
    </row>
    <row r="1734" spans="6:6" x14ac:dyDescent="0.15">
      <c r="F1734" t="s">
        <v>2164</v>
      </c>
    </row>
    <row r="1735" spans="6:6" x14ac:dyDescent="0.15">
      <c r="F1735" t="s">
        <v>2165</v>
      </c>
    </row>
    <row r="1736" spans="6:6" x14ac:dyDescent="0.15">
      <c r="F1736" t="s">
        <v>2166</v>
      </c>
    </row>
    <row r="1737" spans="6:6" x14ac:dyDescent="0.15">
      <c r="F1737" t="s">
        <v>2167</v>
      </c>
    </row>
    <row r="1738" spans="6:6" x14ac:dyDescent="0.15">
      <c r="F1738" t="s">
        <v>2168</v>
      </c>
    </row>
    <row r="1739" spans="6:6" x14ac:dyDescent="0.15">
      <c r="F1739" t="s">
        <v>2169</v>
      </c>
    </row>
    <row r="1740" spans="6:6" x14ac:dyDescent="0.15">
      <c r="F1740" t="s">
        <v>2170</v>
      </c>
    </row>
    <row r="1741" spans="6:6" x14ac:dyDescent="0.15">
      <c r="F1741" t="s">
        <v>2171</v>
      </c>
    </row>
    <row r="1742" spans="6:6" x14ac:dyDescent="0.15">
      <c r="F1742" t="s">
        <v>2172</v>
      </c>
    </row>
    <row r="1743" spans="6:6" x14ac:dyDescent="0.15">
      <c r="F1743" t="s">
        <v>2173</v>
      </c>
    </row>
    <row r="1744" spans="6:6" x14ac:dyDescent="0.15">
      <c r="F1744" t="s">
        <v>2174</v>
      </c>
    </row>
    <row r="1745" spans="6:6" x14ac:dyDescent="0.15">
      <c r="F1745" t="s">
        <v>2175</v>
      </c>
    </row>
    <row r="1746" spans="6:6" x14ac:dyDescent="0.15">
      <c r="F1746" t="s">
        <v>2176</v>
      </c>
    </row>
    <row r="1747" spans="6:6" x14ac:dyDescent="0.15">
      <c r="F1747" t="s">
        <v>2177</v>
      </c>
    </row>
    <row r="1748" spans="6:6" x14ac:dyDescent="0.15">
      <c r="F1748" t="s">
        <v>2178</v>
      </c>
    </row>
    <row r="1749" spans="6:6" x14ac:dyDescent="0.15">
      <c r="F1749" t="s">
        <v>2179</v>
      </c>
    </row>
    <row r="1750" spans="6:6" x14ac:dyDescent="0.15">
      <c r="F1750" t="s">
        <v>2180</v>
      </c>
    </row>
    <row r="1751" spans="6:6" x14ac:dyDescent="0.15">
      <c r="F1751" t="s">
        <v>2181</v>
      </c>
    </row>
    <row r="1752" spans="6:6" x14ac:dyDescent="0.15">
      <c r="F1752" t="s">
        <v>2182</v>
      </c>
    </row>
    <row r="1753" spans="6:6" x14ac:dyDescent="0.15">
      <c r="F1753" t="s">
        <v>2183</v>
      </c>
    </row>
    <row r="1754" spans="6:6" x14ac:dyDescent="0.15">
      <c r="F1754" t="s">
        <v>2184</v>
      </c>
    </row>
    <row r="1755" spans="6:6" x14ac:dyDescent="0.15">
      <c r="F1755" t="s">
        <v>2185</v>
      </c>
    </row>
    <row r="1756" spans="6:6" x14ac:dyDescent="0.15">
      <c r="F1756" t="s">
        <v>2186</v>
      </c>
    </row>
    <row r="1757" spans="6:6" x14ac:dyDescent="0.15">
      <c r="F1757" t="s">
        <v>2187</v>
      </c>
    </row>
    <row r="1758" spans="6:6" x14ac:dyDescent="0.15">
      <c r="F1758" t="s">
        <v>2188</v>
      </c>
    </row>
    <row r="1759" spans="6:6" x14ac:dyDescent="0.15">
      <c r="F1759" t="s">
        <v>2189</v>
      </c>
    </row>
    <row r="1760" spans="6:6" x14ac:dyDescent="0.15">
      <c r="F1760" t="s">
        <v>2190</v>
      </c>
    </row>
    <row r="1761" spans="6:6" x14ac:dyDescent="0.15">
      <c r="F1761" t="s">
        <v>2191</v>
      </c>
    </row>
    <row r="1762" spans="6:6" x14ac:dyDescent="0.15">
      <c r="F1762" t="s">
        <v>2192</v>
      </c>
    </row>
    <row r="1763" spans="6:6" x14ac:dyDescent="0.15">
      <c r="F1763" t="s">
        <v>2193</v>
      </c>
    </row>
    <row r="1764" spans="6:6" x14ac:dyDescent="0.15">
      <c r="F1764" t="s">
        <v>2194</v>
      </c>
    </row>
    <row r="1765" spans="6:6" x14ac:dyDescent="0.15">
      <c r="F1765" t="s">
        <v>2195</v>
      </c>
    </row>
    <row r="1766" spans="6:6" x14ac:dyDescent="0.15">
      <c r="F1766" t="s">
        <v>2196</v>
      </c>
    </row>
    <row r="1767" spans="6:6" x14ac:dyDescent="0.15">
      <c r="F1767" t="s">
        <v>2197</v>
      </c>
    </row>
    <row r="1768" spans="6:6" x14ac:dyDescent="0.15">
      <c r="F1768" t="s">
        <v>2198</v>
      </c>
    </row>
    <row r="1769" spans="6:6" x14ac:dyDescent="0.15">
      <c r="F1769" t="s">
        <v>2199</v>
      </c>
    </row>
    <row r="1770" spans="6:6" x14ac:dyDescent="0.15">
      <c r="F1770" t="s">
        <v>2200</v>
      </c>
    </row>
    <row r="1771" spans="6:6" x14ac:dyDescent="0.15">
      <c r="F1771" t="s">
        <v>2201</v>
      </c>
    </row>
    <row r="1772" spans="6:6" x14ac:dyDescent="0.15">
      <c r="F1772" t="s">
        <v>2202</v>
      </c>
    </row>
    <row r="1773" spans="6:6" x14ac:dyDescent="0.15">
      <c r="F1773" t="s">
        <v>2203</v>
      </c>
    </row>
    <row r="1774" spans="6:6" x14ac:dyDescent="0.15">
      <c r="F1774" t="s">
        <v>2204</v>
      </c>
    </row>
    <row r="1775" spans="6:6" x14ac:dyDescent="0.15">
      <c r="F1775" t="s">
        <v>2205</v>
      </c>
    </row>
    <row r="1776" spans="6:6" x14ac:dyDescent="0.15">
      <c r="F1776" t="s">
        <v>2206</v>
      </c>
    </row>
    <row r="1777" spans="6:6" x14ac:dyDescent="0.15">
      <c r="F1777" t="s">
        <v>2207</v>
      </c>
    </row>
    <row r="1778" spans="6:6" x14ac:dyDescent="0.15">
      <c r="F1778" t="s">
        <v>2208</v>
      </c>
    </row>
    <row r="1779" spans="6:6" x14ac:dyDescent="0.15">
      <c r="F1779" t="s">
        <v>2209</v>
      </c>
    </row>
    <row r="1780" spans="6:6" x14ac:dyDescent="0.15">
      <c r="F1780" t="s">
        <v>2210</v>
      </c>
    </row>
    <row r="1781" spans="6:6" x14ac:dyDescent="0.15">
      <c r="F1781" t="s">
        <v>2211</v>
      </c>
    </row>
    <row r="1782" spans="6:6" x14ac:dyDescent="0.15">
      <c r="F1782" t="s">
        <v>2212</v>
      </c>
    </row>
    <row r="1783" spans="6:6" x14ac:dyDescent="0.15">
      <c r="F1783" t="s">
        <v>2213</v>
      </c>
    </row>
    <row r="1784" spans="6:6" x14ac:dyDescent="0.15">
      <c r="F1784" t="s">
        <v>2214</v>
      </c>
    </row>
    <row r="1785" spans="6:6" x14ac:dyDescent="0.15">
      <c r="F1785" t="s">
        <v>2215</v>
      </c>
    </row>
    <row r="1786" spans="6:6" x14ac:dyDescent="0.15">
      <c r="F1786" t="s">
        <v>2216</v>
      </c>
    </row>
    <row r="1787" spans="6:6" x14ac:dyDescent="0.15">
      <c r="F1787" t="s">
        <v>2217</v>
      </c>
    </row>
    <row r="1788" spans="6:6" x14ac:dyDescent="0.15">
      <c r="F1788" t="s">
        <v>2218</v>
      </c>
    </row>
    <row r="1789" spans="6:6" x14ac:dyDescent="0.15">
      <c r="F1789" t="s">
        <v>2219</v>
      </c>
    </row>
    <row r="1790" spans="6:6" x14ac:dyDescent="0.15">
      <c r="F1790" t="s">
        <v>2220</v>
      </c>
    </row>
    <row r="1791" spans="6:6" x14ac:dyDescent="0.15">
      <c r="F1791" t="s">
        <v>2221</v>
      </c>
    </row>
    <row r="1792" spans="6:6" x14ac:dyDescent="0.15">
      <c r="F1792" t="s">
        <v>21</v>
      </c>
    </row>
    <row r="1793" spans="6:6" x14ac:dyDescent="0.15">
      <c r="F1793" t="s">
        <v>2222</v>
      </c>
    </row>
    <row r="1794" spans="6:6" x14ac:dyDescent="0.15">
      <c r="F1794" t="s">
        <v>2223</v>
      </c>
    </row>
    <row r="1795" spans="6:6" x14ac:dyDescent="0.15">
      <c r="F1795" t="s">
        <v>2224</v>
      </c>
    </row>
    <row r="1796" spans="6:6" x14ac:dyDescent="0.15">
      <c r="F1796" t="s">
        <v>2225</v>
      </c>
    </row>
    <row r="1797" spans="6:6" x14ac:dyDescent="0.15">
      <c r="F1797" t="s">
        <v>2226</v>
      </c>
    </row>
    <row r="1798" spans="6:6" x14ac:dyDescent="0.15">
      <c r="F1798" t="s">
        <v>2227</v>
      </c>
    </row>
    <row r="1799" spans="6:6" x14ac:dyDescent="0.15">
      <c r="F1799" t="s">
        <v>2228</v>
      </c>
    </row>
    <row r="1800" spans="6:6" x14ac:dyDescent="0.15">
      <c r="F1800" t="s">
        <v>2229</v>
      </c>
    </row>
    <row r="1801" spans="6:6" x14ac:dyDescent="0.15">
      <c r="F1801" t="s">
        <v>2230</v>
      </c>
    </row>
    <row r="1802" spans="6:6" x14ac:dyDescent="0.15">
      <c r="F1802" t="s">
        <v>2231</v>
      </c>
    </row>
    <row r="1803" spans="6:6" x14ac:dyDescent="0.15">
      <c r="F1803" t="s">
        <v>2232</v>
      </c>
    </row>
    <row r="1804" spans="6:6" x14ac:dyDescent="0.15">
      <c r="F1804" t="s">
        <v>2233</v>
      </c>
    </row>
    <row r="1805" spans="6:6" x14ac:dyDescent="0.15">
      <c r="F1805" t="s">
        <v>2234</v>
      </c>
    </row>
    <row r="1806" spans="6:6" x14ac:dyDescent="0.15">
      <c r="F1806" t="s">
        <v>2235</v>
      </c>
    </row>
    <row r="1807" spans="6:6" x14ac:dyDescent="0.15">
      <c r="F1807" t="s">
        <v>2236</v>
      </c>
    </row>
    <row r="1808" spans="6:6" x14ac:dyDescent="0.15">
      <c r="F1808" t="s">
        <v>2237</v>
      </c>
    </row>
    <row r="1809" spans="6:6" x14ac:dyDescent="0.15">
      <c r="F1809" t="s">
        <v>2238</v>
      </c>
    </row>
    <row r="1810" spans="6:6" x14ac:dyDescent="0.15">
      <c r="F1810" t="s">
        <v>2239</v>
      </c>
    </row>
    <row r="1811" spans="6:6" x14ac:dyDescent="0.15">
      <c r="F1811" t="s">
        <v>2240</v>
      </c>
    </row>
    <row r="1812" spans="6:6" x14ac:dyDescent="0.15">
      <c r="F1812" t="s">
        <v>2241</v>
      </c>
    </row>
    <row r="1813" spans="6:6" x14ac:dyDescent="0.15">
      <c r="F1813" t="s">
        <v>2242</v>
      </c>
    </row>
    <row r="1814" spans="6:6" x14ac:dyDescent="0.15">
      <c r="F1814" t="s">
        <v>2243</v>
      </c>
    </row>
    <row r="1815" spans="6:6" x14ac:dyDescent="0.15">
      <c r="F1815" t="s">
        <v>2244</v>
      </c>
    </row>
    <row r="1816" spans="6:6" x14ac:dyDescent="0.15">
      <c r="F1816" t="s">
        <v>2245</v>
      </c>
    </row>
    <row r="1817" spans="6:6" x14ac:dyDescent="0.15">
      <c r="F1817" t="s">
        <v>2246</v>
      </c>
    </row>
    <row r="1818" spans="6:6" x14ac:dyDescent="0.15">
      <c r="F1818" t="s">
        <v>2247</v>
      </c>
    </row>
    <row r="1819" spans="6:6" x14ac:dyDescent="0.15">
      <c r="F1819" t="s">
        <v>2248</v>
      </c>
    </row>
    <row r="1820" spans="6:6" x14ac:dyDescent="0.15">
      <c r="F1820" t="s">
        <v>2249</v>
      </c>
    </row>
    <row r="1821" spans="6:6" x14ac:dyDescent="0.15">
      <c r="F1821" t="s">
        <v>2250</v>
      </c>
    </row>
    <row r="1822" spans="6:6" x14ac:dyDescent="0.15">
      <c r="F1822" t="s">
        <v>2251</v>
      </c>
    </row>
    <row r="1823" spans="6:6" x14ac:dyDescent="0.15">
      <c r="F1823" t="s">
        <v>2252</v>
      </c>
    </row>
    <row r="1824" spans="6:6" x14ac:dyDescent="0.15">
      <c r="F1824" t="s">
        <v>2253</v>
      </c>
    </row>
    <row r="1825" spans="6:6" x14ac:dyDescent="0.15">
      <c r="F1825" t="s">
        <v>2254</v>
      </c>
    </row>
    <row r="1826" spans="6:6" x14ac:dyDescent="0.15">
      <c r="F1826" t="s">
        <v>2255</v>
      </c>
    </row>
    <row r="1827" spans="6:6" x14ac:dyDescent="0.15">
      <c r="F1827" t="s">
        <v>2256</v>
      </c>
    </row>
    <row r="1828" spans="6:6" x14ac:dyDescent="0.15">
      <c r="F1828" t="s">
        <v>2257</v>
      </c>
    </row>
    <row r="1829" spans="6:6" x14ac:dyDescent="0.15">
      <c r="F1829" t="s">
        <v>2258</v>
      </c>
    </row>
    <row r="1830" spans="6:6" x14ac:dyDescent="0.15">
      <c r="F1830" t="s">
        <v>2259</v>
      </c>
    </row>
    <row r="1831" spans="6:6" x14ac:dyDescent="0.15">
      <c r="F1831" t="s">
        <v>2260</v>
      </c>
    </row>
    <row r="1832" spans="6:6" x14ac:dyDescent="0.15">
      <c r="F1832" t="s">
        <v>2261</v>
      </c>
    </row>
    <row r="1833" spans="6:6" x14ac:dyDescent="0.15">
      <c r="F1833" t="s">
        <v>2262</v>
      </c>
    </row>
    <row r="1834" spans="6:6" x14ac:dyDescent="0.15">
      <c r="F1834" t="s">
        <v>2263</v>
      </c>
    </row>
    <row r="1835" spans="6:6" x14ac:dyDescent="0.15">
      <c r="F1835" t="s">
        <v>2264</v>
      </c>
    </row>
    <row r="1836" spans="6:6" x14ac:dyDescent="0.15">
      <c r="F1836" t="s">
        <v>2265</v>
      </c>
    </row>
    <row r="1837" spans="6:6" x14ac:dyDescent="0.15">
      <c r="F1837" t="s">
        <v>2266</v>
      </c>
    </row>
    <row r="1838" spans="6:6" x14ac:dyDescent="0.15">
      <c r="F1838" t="s">
        <v>2267</v>
      </c>
    </row>
    <row r="1839" spans="6:6" x14ac:dyDescent="0.15">
      <c r="F1839" t="s">
        <v>2268</v>
      </c>
    </row>
    <row r="1840" spans="6:6" x14ac:dyDescent="0.15">
      <c r="F1840" t="s">
        <v>2269</v>
      </c>
    </row>
    <row r="1841" spans="6:6" x14ac:dyDescent="0.15">
      <c r="F1841" t="s">
        <v>2270</v>
      </c>
    </row>
    <row r="1842" spans="6:6" x14ac:dyDescent="0.15">
      <c r="F1842" t="s">
        <v>2271</v>
      </c>
    </row>
    <row r="1843" spans="6:6" x14ac:dyDescent="0.15">
      <c r="F1843" t="s">
        <v>2272</v>
      </c>
    </row>
    <row r="1844" spans="6:6" x14ac:dyDescent="0.15">
      <c r="F1844" t="s">
        <v>2273</v>
      </c>
    </row>
    <row r="1845" spans="6:6" x14ac:dyDescent="0.15">
      <c r="F1845" t="s">
        <v>2274</v>
      </c>
    </row>
    <row r="1846" spans="6:6" x14ac:dyDescent="0.15">
      <c r="F1846" t="s">
        <v>2275</v>
      </c>
    </row>
    <row r="1847" spans="6:6" x14ac:dyDescent="0.15">
      <c r="F1847" t="s">
        <v>2276</v>
      </c>
    </row>
    <row r="1848" spans="6:6" x14ac:dyDescent="0.15">
      <c r="F1848" t="s">
        <v>2277</v>
      </c>
    </row>
    <row r="1849" spans="6:6" x14ac:dyDescent="0.15">
      <c r="F1849" t="s">
        <v>2278</v>
      </c>
    </row>
    <row r="1850" spans="6:6" x14ac:dyDescent="0.15">
      <c r="F1850" t="s">
        <v>2279</v>
      </c>
    </row>
    <row r="1851" spans="6:6" x14ac:dyDescent="0.15">
      <c r="F1851" t="s">
        <v>2280</v>
      </c>
    </row>
    <row r="1852" spans="6:6" x14ac:dyDescent="0.15">
      <c r="F1852" t="s">
        <v>2281</v>
      </c>
    </row>
    <row r="1853" spans="6:6" x14ac:dyDescent="0.15">
      <c r="F1853" t="s">
        <v>2282</v>
      </c>
    </row>
    <row r="1854" spans="6:6" x14ac:dyDescent="0.15">
      <c r="F1854" t="s">
        <v>2283</v>
      </c>
    </row>
    <row r="1855" spans="6:6" x14ac:dyDescent="0.15">
      <c r="F1855" t="s">
        <v>2284</v>
      </c>
    </row>
    <row r="1856" spans="6:6" x14ac:dyDescent="0.15">
      <c r="F1856" t="s">
        <v>2285</v>
      </c>
    </row>
    <row r="1857" spans="6:6" x14ac:dyDescent="0.15">
      <c r="F1857" t="s">
        <v>2286</v>
      </c>
    </row>
    <row r="1858" spans="6:6" x14ac:dyDescent="0.15">
      <c r="F1858" t="s">
        <v>2287</v>
      </c>
    </row>
    <row r="1859" spans="6:6" x14ac:dyDescent="0.15">
      <c r="F1859" t="s">
        <v>2288</v>
      </c>
    </row>
    <row r="1860" spans="6:6" x14ac:dyDescent="0.15">
      <c r="F1860" t="s">
        <v>2289</v>
      </c>
    </row>
    <row r="1861" spans="6:6" x14ac:dyDescent="0.15">
      <c r="F1861" t="s">
        <v>2290</v>
      </c>
    </row>
    <row r="1862" spans="6:6" x14ac:dyDescent="0.15">
      <c r="F1862" t="s">
        <v>2291</v>
      </c>
    </row>
    <row r="1863" spans="6:6" x14ac:dyDescent="0.15">
      <c r="F1863" t="s">
        <v>2292</v>
      </c>
    </row>
    <row r="1864" spans="6:6" x14ac:dyDescent="0.15">
      <c r="F1864" t="s">
        <v>2293</v>
      </c>
    </row>
    <row r="1865" spans="6:6" x14ac:dyDescent="0.15">
      <c r="F1865" t="s">
        <v>2294</v>
      </c>
    </row>
    <row r="1866" spans="6:6" x14ac:dyDescent="0.15">
      <c r="F1866" t="s">
        <v>2295</v>
      </c>
    </row>
    <row r="1867" spans="6:6" x14ac:dyDescent="0.15">
      <c r="F1867" t="s">
        <v>2296</v>
      </c>
    </row>
    <row r="1868" spans="6:6" x14ac:dyDescent="0.15">
      <c r="F1868" t="s">
        <v>2297</v>
      </c>
    </row>
    <row r="1869" spans="6:6" x14ac:dyDescent="0.15">
      <c r="F1869" t="s">
        <v>2298</v>
      </c>
    </row>
    <row r="1870" spans="6:6" x14ac:dyDescent="0.15">
      <c r="F1870" t="s">
        <v>2299</v>
      </c>
    </row>
    <row r="1871" spans="6:6" x14ac:dyDescent="0.15">
      <c r="F1871" t="s">
        <v>2300</v>
      </c>
    </row>
    <row r="1872" spans="6:6" x14ac:dyDescent="0.15">
      <c r="F1872" t="s">
        <v>2301</v>
      </c>
    </row>
    <row r="1873" spans="6:6" x14ac:dyDescent="0.15">
      <c r="F1873" t="s">
        <v>2302</v>
      </c>
    </row>
    <row r="1874" spans="6:6" x14ac:dyDescent="0.15">
      <c r="F1874" t="s">
        <v>2303</v>
      </c>
    </row>
    <row r="1875" spans="6:6" x14ac:dyDescent="0.15">
      <c r="F1875" t="s">
        <v>2304</v>
      </c>
    </row>
    <row r="1876" spans="6:6" x14ac:dyDescent="0.15">
      <c r="F1876" t="s">
        <v>2305</v>
      </c>
    </row>
    <row r="1877" spans="6:6" x14ac:dyDescent="0.15">
      <c r="F1877" t="s">
        <v>2306</v>
      </c>
    </row>
    <row r="1878" spans="6:6" x14ac:dyDescent="0.15">
      <c r="F1878" t="s">
        <v>2307</v>
      </c>
    </row>
    <row r="1879" spans="6:6" x14ac:dyDescent="0.15">
      <c r="F1879" t="s">
        <v>2308</v>
      </c>
    </row>
    <row r="1880" spans="6:6" x14ac:dyDescent="0.15">
      <c r="F1880" t="s">
        <v>2309</v>
      </c>
    </row>
    <row r="1881" spans="6:6" x14ac:dyDescent="0.15">
      <c r="F1881" t="s">
        <v>2310</v>
      </c>
    </row>
    <row r="1882" spans="6:6" x14ac:dyDescent="0.15">
      <c r="F1882" t="s">
        <v>2311</v>
      </c>
    </row>
    <row r="1883" spans="6:6" x14ac:dyDescent="0.15">
      <c r="F1883" t="s">
        <v>2312</v>
      </c>
    </row>
    <row r="1884" spans="6:6" x14ac:dyDescent="0.15">
      <c r="F1884" t="s">
        <v>2313</v>
      </c>
    </row>
    <row r="1885" spans="6:6" x14ac:dyDescent="0.15">
      <c r="F1885" t="s">
        <v>2314</v>
      </c>
    </row>
    <row r="1886" spans="6:6" x14ac:dyDescent="0.15">
      <c r="F1886" t="s">
        <v>221</v>
      </c>
    </row>
    <row r="1887" spans="6:6" x14ac:dyDescent="0.15">
      <c r="F1887" t="s">
        <v>2315</v>
      </c>
    </row>
    <row r="1888" spans="6:6" x14ac:dyDescent="0.15">
      <c r="F1888" t="s">
        <v>2316</v>
      </c>
    </row>
    <row r="1889" spans="6:6" x14ac:dyDescent="0.15">
      <c r="F1889" t="s">
        <v>2317</v>
      </c>
    </row>
    <row r="1890" spans="6:6" x14ac:dyDescent="0.15">
      <c r="F1890" t="s">
        <v>2318</v>
      </c>
    </row>
    <row r="1891" spans="6:6" x14ac:dyDescent="0.15">
      <c r="F1891" t="s">
        <v>2319</v>
      </c>
    </row>
    <row r="1892" spans="6:6" x14ac:dyDescent="0.15">
      <c r="F1892" t="s">
        <v>2320</v>
      </c>
    </row>
    <row r="1893" spans="6:6" x14ac:dyDescent="0.15">
      <c r="F1893" t="s">
        <v>2321</v>
      </c>
    </row>
    <row r="1894" spans="6:6" x14ac:dyDescent="0.15">
      <c r="F1894" t="s">
        <v>2322</v>
      </c>
    </row>
    <row r="1895" spans="6:6" x14ac:dyDescent="0.15">
      <c r="F1895" t="s">
        <v>2323</v>
      </c>
    </row>
    <row r="1896" spans="6:6" x14ac:dyDescent="0.15">
      <c r="F1896" t="s">
        <v>2324</v>
      </c>
    </row>
    <row r="1897" spans="6:6" x14ac:dyDescent="0.15">
      <c r="F1897" t="s">
        <v>2325</v>
      </c>
    </row>
    <row r="1898" spans="6:6" x14ac:dyDescent="0.15">
      <c r="F1898" t="s">
        <v>2326</v>
      </c>
    </row>
    <row r="1899" spans="6:6" x14ac:dyDescent="0.15">
      <c r="F1899" t="s">
        <v>2327</v>
      </c>
    </row>
    <row r="1900" spans="6:6" x14ac:dyDescent="0.15">
      <c r="F1900" t="s">
        <v>2328</v>
      </c>
    </row>
    <row r="1901" spans="6:6" x14ac:dyDescent="0.15">
      <c r="F1901" t="s">
        <v>2329</v>
      </c>
    </row>
    <row r="1902" spans="6:6" x14ac:dyDescent="0.15">
      <c r="F1902" t="s">
        <v>2330</v>
      </c>
    </row>
    <row r="1903" spans="6:6" x14ac:dyDescent="0.15">
      <c r="F1903" t="s">
        <v>2331</v>
      </c>
    </row>
    <row r="1904" spans="6:6" x14ac:dyDescent="0.15">
      <c r="F1904" t="s">
        <v>2332</v>
      </c>
    </row>
    <row r="1905" spans="6:6" x14ac:dyDescent="0.15">
      <c r="F1905" t="s">
        <v>2333</v>
      </c>
    </row>
    <row r="1906" spans="6:6" x14ac:dyDescent="0.15">
      <c r="F1906" t="s">
        <v>2334</v>
      </c>
    </row>
    <row r="1907" spans="6:6" x14ac:dyDescent="0.15">
      <c r="F1907" t="s">
        <v>2335</v>
      </c>
    </row>
    <row r="1908" spans="6:6" x14ac:dyDescent="0.15">
      <c r="F1908" t="s">
        <v>2336</v>
      </c>
    </row>
    <row r="1909" spans="6:6" x14ac:dyDescent="0.15">
      <c r="F1909" t="s">
        <v>2337</v>
      </c>
    </row>
    <row r="1910" spans="6:6" x14ac:dyDescent="0.15">
      <c r="F1910" t="s">
        <v>2338</v>
      </c>
    </row>
    <row r="1911" spans="6:6" x14ac:dyDescent="0.15">
      <c r="F1911" t="s">
        <v>2339</v>
      </c>
    </row>
    <row r="1912" spans="6:6" x14ac:dyDescent="0.15">
      <c r="F1912" t="s">
        <v>2340</v>
      </c>
    </row>
    <row r="1913" spans="6:6" x14ac:dyDescent="0.15">
      <c r="F1913" t="s">
        <v>2341</v>
      </c>
    </row>
    <row r="1914" spans="6:6" x14ac:dyDescent="0.15">
      <c r="F1914" t="s">
        <v>2342</v>
      </c>
    </row>
    <row r="1915" spans="6:6" x14ac:dyDescent="0.15">
      <c r="F1915" t="s">
        <v>2343</v>
      </c>
    </row>
    <row r="1916" spans="6:6" x14ac:dyDescent="0.15">
      <c r="F1916" t="s">
        <v>2344</v>
      </c>
    </row>
    <row r="1917" spans="6:6" x14ac:dyDescent="0.15">
      <c r="F1917" t="s">
        <v>2345</v>
      </c>
    </row>
    <row r="1918" spans="6:6" x14ac:dyDescent="0.15">
      <c r="F1918" t="s">
        <v>2346</v>
      </c>
    </row>
    <row r="1919" spans="6:6" x14ac:dyDescent="0.15">
      <c r="F1919" t="s">
        <v>2347</v>
      </c>
    </row>
    <row r="1920" spans="6:6" x14ac:dyDescent="0.15">
      <c r="F1920" t="s">
        <v>2348</v>
      </c>
    </row>
    <row r="1921" spans="6:6" x14ac:dyDescent="0.15">
      <c r="F1921" t="s">
        <v>2349</v>
      </c>
    </row>
    <row r="1922" spans="6:6" x14ac:dyDescent="0.15">
      <c r="F1922" t="s">
        <v>2350</v>
      </c>
    </row>
    <row r="1923" spans="6:6" x14ac:dyDescent="0.15">
      <c r="F1923" t="s">
        <v>2351</v>
      </c>
    </row>
    <row r="1924" spans="6:6" x14ac:dyDescent="0.15">
      <c r="F1924" t="s">
        <v>2352</v>
      </c>
    </row>
    <row r="1925" spans="6:6" x14ac:dyDescent="0.15">
      <c r="F1925" t="s">
        <v>2353</v>
      </c>
    </row>
    <row r="1926" spans="6:6" x14ac:dyDescent="0.15">
      <c r="F1926" t="s">
        <v>2354</v>
      </c>
    </row>
    <row r="1927" spans="6:6" x14ac:dyDescent="0.15">
      <c r="F1927" t="s">
        <v>2355</v>
      </c>
    </row>
    <row r="1928" spans="6:6" x14ac:dyDescent="0.15">
      <c r="F1928" t="s">
        <v>2356</v>
      </c>
    </row>
    <row r="1929" spans="6:6" x14ac:dyDescent="0.15">
      <c r="F1929" t="s">
        <v>2357</v>
      </c>
    </row>
    <row r="1930" spans="6:6" x14ac:dyDescent="0.15">
      <c r="F1930" t="s">
        <v>2358</v>
      </c>
    </row>
    <row r="1931" spans="6:6" x14ac:dyDescent="0.15">
      <c r="F1931" t="s">
        <v>2359</v>
      </c>
    </row>
    <row r="1932" spans="6:6" x14ac:dyDescent="0.15">
      <c r="F1932" t="s">
        <v>2360</v>
      </c>
    </row>
    <row r="1933" spans="6:6" x14ac:dyDescent="0.15">
      <c r="F1933" t="s">
        <v>152</v>
      </c>
    </row>
    <row r="1934" spans="6:6" x14ac:dyDescent="0.15">
      <c r="F1934" t="s">
        <v>2361</v>
      </c>
    </row>
    <row r="1935" spans="6:6" x14ac:dyDescent="0.15">
      <c r="F1935" t="s">
        <v>2362</v>
      </c>
    </row>
    <row r="1936" spans="6:6" x14ac:dyDescent="0.15">
      <c r="F1936" t="s">
        <v>2363</v>
      </c>
    </row>
    <row r="1937" spans="6:6" x14ac:dyDescent="0.15">
      <c r="F1937" t="s">
        <v>2364</v>
      </c>
    </row>
    <row r="1938" spans="6:6" x14ac:dyDescent="0.15">
      <c r="F1938" t="s">
        <v>2365</v>
      </c>
    </row>
    <row r="1939" spans="6:6" x14ac:dyDescent="0.15">
      <c r="F1939" t="s">
        <v>2366</v>
      </c>
    </row>
    <row r="1940" spans="6:6" x14ac:dyDescent="0.15">
      <c r="F1940" t="s">
        <v>11</v>
      </c>
    </row>
    <row r="1941" spans="6:6" x14ac:dyDescent="0.15">
      <c r="F1941" t="s">
        <v>2367</v>
      </c>
    </row>
    <row r="1942" spans="6:6" x14ac:dyDescent="0.15">
      <c r="F1942" t="s">
        <v>2368</v>
      </c>
    </row>
    <row r="1943" spans="6:6" x14ac:dyDescent="0.15">
      <c r="F1943" t="s">
        <v>2369</v>
      </c>
    </row>
    <row r="1944" spans="6:6" x14ac:dyDescent="0.15">
      <c r="F1944" t="s">
        <v>2370</v>
      </c>
    </row>
    <row r="1945" spans="6:6" x14ac:dyDescent="0.15">
      <c r="F1945" t="s">
        <v>2371</v>
      </c>
    </row>
    <row r="1946" spans="6:6" x14ac:dyDescent="0.15">
      <c r="F1946" t="s">
        <v>2372</v>
      </c>
    </row>
    <row r="1947" spans="6:6" x14ac:dyDescent="0.15">
      <c r="F1947" t="s">
        <v>2373</v>
      </c>
    </row>
    <row r="1948" spans="6:6" x14ac:dyDescent="0.15">
      <c r="F1948" t="s">
        <v>2374</v>
      </c>
    </row>
    <row r="1949" spans="6:6" x14ac:dyDescent="0.15">
      <c r="F1949" t="s">
        <v>2375</v>
      </c>
    </row>
    <row r="1950" spans="6:6" x14ac:dyDescent="0.15">
      <c r="F1950" t="s">
        <v>2376</v>
      </c>
    </row>
    <row r="1951" spans="6:6" x14ac:dyDescent="0.15">
      <c r="F1951" t="s">
        <v>2377</v>
      </c>
    </row>
    <row r="1952" spans="6:6" x14ac:dyDescent="0.15">
      <c r="F1952" t="s">
        <v>2378</v>
      </c>
    </row>
    <row r="1953" spans="6:6" x14ac:dyDescent="0.15">
      <c r="F1953" t="s">
        <v>2379</v>
      </c>
    </row>
    <row r="1954" spans="6:6" x14ac:dyDescent="0.15">
      <c r="F1954" t="s">
        <v>2380</v>
      </c>
    </row>
    <row r="1955" spans="6:6" x14ac:dyDescent="0.15">
      <c r="F1955" t="s">
        <v>2381</v>
      </c>
    </row>
    <row r="1956" spans="6:6" x14ac:dyDescent="0.15">
      <c r="F1956" t="s">
        <v>2382</v>
      </c>
    </row>
    <row r="1957" spans="6:6" x14ac:dyDescent="0.15">
      <c r="F1957" t="s">
        <v>2383</v>
      </c>
    </row>
    <row r="1958" spans="6:6" x14ac:dyDescent="0.15">
      <c r="F1958" t="s">
        <v>2384</v>
      </c>
    </row>
    <row r="1959" spans="6:6" x14ac:dyDescent="0.15">
      <c r="F1959" t="s">
        <v>2385</v>
      </c>
    </row>
    <row r="1960" spans="6:6" x14ac:dyDescent="0.15">
      <c r="F1960" t="s">
        <v>2386</v>
      </c>
    </row>
    <row r="1961" spans="6:6" x14ac:dyDescent="0.15">
      <c r="F1961" t="s">
        <v>2387</v>
      </c>
    </row>
    <row r="1962" spans="6:6" x14ac:dyDescent="0.15">
      <c r="F1962" t="s">
        <v>2388</v>
      </c>
    </row>
    <row r="1963" spans="6:6" x14ac:dyDescent="0.15">
      <c r="F1963" t="s">
        <v>2389</v>
      </c>
    </row>
    <row r="1964" spans="6:6" x14ac:dyDescent="0.15">
      <c r="F1964" t="s">
        <v>2390</v>
      </c>
    </row>
    <row r="1965" spans="6:6" x14ac:dyDescent="0.15">
      <c r="F1965" t="s">
        <v>2391</v>
      </c>
    </row>
    <row r="1966" spans="6:6" x14ac:dyDescent="0.15">
      <c r="F1966" t="s">
        <v>2392</v>
      </c>
    </row>
    <row r="1967" spans="6:6" x14ac:dyDescent="0.15">
      <c r="F1967" t="s">
        <v>2393</v>
      </c>
    </row>
    <row r="1968" spans="6:6" x14ac:dyDescent="0.15">
      <c r="F1968" t="s">
        <v>2394</v>
      </c>
    </row>
    <row r="1969" spans="6:6" x14ac:dyDescent="0.15">
      <c r="F1969" t="s">
        <v>2395</v>
      </c>
    </row>
    <row r="1970" spans="6:6" x14ac:dyDescent="0.15">
      <c r="F1970" t="s">
        <v>2396</v>
      </c>
    </row>
    <row r="1971" spans="6:6" x14ac:dyDescent="0.15">
      <c r="F1971" t="s">
        <v>2397</v>
      </c>
    </row>
    <row r="1972" spans="6:6" x14ac:dyDescent="0.15">
      <c r="F1972" t="s">
        <v>2398</v>
      </c>
    </row>
    <row r="1973" spans="6:6" x14ac:dyDescent="0.15">
      <c r="F1973" t="s">
        <v>2399</v>
      </c>
    </row>
    <row r="1974" spans="6:6" x14ac:dyDescent="0.15">
      <c r="F1974" t="s">
        <v>2400</v>
      </c>
    </row>
    <row r="1975" spans="6:6" x14ac:dyDescent="0.15">
      <c r="F1975" t="s">
        <v>2401</v>
      </c>
    </row>
    <row r="1976" spans="6:6" x14ac:dyDescent="0.15">
      <c r="F1976" t="s">
        <v>2402</v>
      </c>
    </row>
    <row r="1977" spans="6:6" x14ac:dyDescent="0.15">
      <c r="F1977" t="s">
        <v>2403</v>
      </c>
    </row>
    <row r="1978" spans="6:6" x14ac:dyDescent="0.15">
      <c r="F1978" t="s">
        <v>2404</v>
      </c>
    </row>
    <row r="1979" spans="6:6" x14ac:dyDescent="0.15">
      <c r="F1979" t="s">
        <v>2405</v>
      </c>
    </row>
    <row r="1980" spans="6:6" x14ac:dyDescent="0.15">
      <c r="F1980" t="s">
        <v>1030</v>
      </c>
    </row>
    <row r="1981" spans="6:6" x14ac:dyDescent="0.15">
      <c r="F1981" t="s">
        <v>2406</v>
      </c>
    </row>
    <row r="1982" spans="6:6" x14ac:dyDescent="0.15">
      <c r="F1982" t="s">
        <v>2407</v>
      </c>
    </row>
    <row r="1983" spans="6:6" x14ac:dyDescent="0.15">
      <c r="F1983" t="s">
        <v>2408</v>
      </c>
    </row>
    <row r="1984" spans="6:6" x14ac:dyDescent="0.15">
      <c r="F1984" t="s">
        <v>2409</v>
      </c>
    </row>
    <row r="1985" spans="6:6" x14ac:dyDescent="0.15">
      <c r="F1985" t="s">
        <v>2410</v>
      </c>
    </row>
    <row r="1986" spans="6:6" x14ac:dyDescent="0.15">
      <c r="F1986" t="s">
        <v>2411</v>
      </c>
    </row>
    <row r="1987" spans="6:6" x14ac:dyDescent="0.15">
      <c r="F1987" t="s">
        <v>2412</v>
      </c>
    </row>
    <row r="1988" spans="6:6" x14ac:dyDescent="0.15">
      <c r="F1988" t="s">
        <v>2413</v>
      </c>
    </row>
    <row r="1989" spans="6:6" x14ac:dyDescent="0.15">
      <c r="F1989" t="s">
        <v>2414</v>
      </c>
    </row>
    <row r="1990" spans="6:6" x14ac:dyDescent="0.15">
      <c r="F1990" t="s">
        <v>2415</v>
      </c>
    </row>
    <row r="1991" spans="6:6" x14ac:dyDescent="0.15">
      <c r="F1991" t="s">
        <v>2416</v>
      </c>
    </row>
    <row r="1992" spans="6:6" x14ac:dyDescent="0.15">
      <c r="F1992" t="s">
        <v>2417</v>
      </c>
    </row>
    <row r="1993" spans="6:6" x14ac:dyDescent="0.15">
      <c r="F1993" t="s">
        <v>2418</v>
      </c>
    </row>
    <row r="1994" spans="6:6" x14ac:dyDescent="0.15">
      <c r="F1994" t="s">
        <v>2419</v>
      </c>
    </row>
    <row r="1995" spans="6:6" x14ac:dyDescent="0.15">
      <c r="F1995" t="s">
        <v>2420</v>
      </c>
    </row>
    <row r="1996" spans="6:6" x14ac:dyDescent="0.15">
      <c r="F1996" t="s">
        <v>2421</v>
      </c>
    </row>
    <row r="1997" spans="6:6" x14ac:dyDescent="0.15">
      <c r="F1997" t="s">
        <v>2422</v>
      </c>
    </row>
    <row r="1998" spans="6:6" x14ac:dyDescent="0.15">
      <c r="F1998" t="s">
        <v>233</v>
      </c>
    </row>
    <row r="1999" spans="6:6" x14ac:dyDescent="0.15">
      <c r="F1999" t="s">
        <v>2423</v>
      </c>
    </row>
    <row r="2000" spans="6:6" x14ac:dyDescent="0.15">
      <c r="F2000" t="s">
        <v>2424</v>
      </c>
    </row>
    <row r="2001" spans="6:6" x14ac:dyDescent="0.15">
      <c r="F2001" t="s">
        <v>2425</v>
      </c>
    </row>
    <row r="2002" spans="6:6" x14ac:dyDescent="0.15">
      <c r="F2002" t="s">
        <v>2426</v>
      </c>
    </row>
    <row r="2003" spans="6:6" x14ac:dyDescent="0.15">
      <c r="F2003" t="s">
        <v>2427</v>
      </c>
    </row>
    <row r="2004" spans="6:6" x14ac:dyDescent="0.15">
      <c r="F2004" t="s">
        <v>2428</v>
      </c>
    </row>
    <row r="2005" spans="6:6" x14ac:dyDescent="0.15">
      <c r="F2005" t="s">
        <v>2429</v>
      </c>
    </row>
    <row r="2006" spans="6:6" x14ac:dyDescent="0.15">
      <c r="F2006" t="s">
        <v>2430</v>
      </c>
    </row>
    <row r="2007" spans="6:6" x14ac:dyDescent="0.15">
      <c r="F2007" t="s">
        <v>2431</v>
      </c>
    </row>
    <row r="2008" spans="6:6" x14ac:dyDescent="0.15">
      <c r="F2008" t="s">
        <v>2432</v>
      </c>
    </row>
    <row r="2009" spans="6:6" x14ac:dyDescent="0.15">
      <c r="F2009" t="s">
        <v>2433</v>
      </c>
    </row>
    <row r="2010" spans="6:6" x14ac:dyDescent="0.15">
      <c r="F2010" t="s">
        <v>2434</v>
      </c>
    </row>
    <row r="2011" spans="6:6" x14ac:dyDescent="0.15">
      <c r="F2011" t="s">
        <v>2435</v>
      </c>
    </row>
    <row r="2012" spans="6:6" x14ac:dyDescent="0.15">
      <c r="F2012" t="s">
        <v>2436</v>
      </c>
    </row>
    <row r="2013" spans="6:6" x14ac:dyDescent="0.15">
      <c r="F2013" t="s">
        <v>2437</v>
      </c>
    </row>
    <row r="2014" spans="6:6" x14ac:dyDescent="0.15">
      <c r="F2014" t="s">
        <v>2438</v>
      </c>
    </row>
    <row r="2015" spans="6:6" x14ac:dyDescent="0.15">
      <c r="F2015" t="s">
        <v>2439</v>
      </c>
    </row>
    <row r="2016" spans="6:6" x14ac:dyDescent="0.15">
      <c r="F2016" t="s">
        <v>2440</v>
      </c>
    </row>
    <row r="2017" spans="6:6" x14ac:dyDescent="0.15">
      <c r="F2017" t="s">
        <v>2441</v>
      </c>
    </row>
    <row r="2018" spans="6:6" x14ac:dyDescent="0.15">
      <c r="F2018" t="s">
        <v>2442</v>
      </c>
    </row>
    <row r="2019" spans="6:6" x14ac:dyDescent="0.15">
      <c r="F2019" t="s">
        <v>2443</v>
      </c>
    </row>
    <row r="2020" spans="6:6" x14ac:dyDescent="0.15">
      <c r="F2020" t="s">
        <v>2444</v>
      </c>
    </row>
    <row r="2021" spans="6:6" x14ac:dyDescent="0.15">
      <c r="F2021" t="s">
        <v>2445</v>
      </c>
    </row>
    <row r="2022" spans="6:6" x14ac:dyDescent="0.15">
      <c r="F2022" t="s">
        <v>2446</v>
      </c>
    </row>
    <row r="2023" spans="6:6" x14ac:dyDescent="0.15">
      <c r="F2023" t="s">
        <v>2447</v>
      </c>
    </row>
    <row r="2024" spans="6:6" x14ac:dyDescent="0.15">
      <c r="F2024" t="s">
        <v>2448</v>
      </c>
    </row>
    <row r="2025" spans="6:6" x14ac:dyDescent="0.15">
      <c r="F2025" t="s">
        <v>2449</v>
      </c>
    </row>
    <row r="2026" spans="6:6" x14ac:dyDescent="0.15">
      <c r="F2026" t="s">
        <v>2450</v>
      </c>
    </row>
    <row r="2027" spans="6:6" x14ac:dyDescent="0.15">
      <c r="F2027" t="s">
        <v>2451</v>
      </c>
    </row>
    <row r="2028" spans="6:6" x14ac:dyDescent="0.15">
      <c r="F2028" t="s">
        <v>2452</v>
      </c>
    </row>
    <row r="2029" spans="6:6" x14ac:dyDescent="0.15">
      <c r="F2029" t="s">
        <v>2453</v>
      </c>
    </row>
    <row r="2030" spans="6:6" x14ac:dyDescent="0.15">
      <c r="F2030" t="s">
        <v>2454</v>
      </c>
    </row>
    <row r="2031" spans="6:6" x14ac:dyDescent="0.15">
      <c r="F2031" t="s">
        <v>2455</v>
      </c>
    </row>
    <row r="2032" spans="6:6" x14ac:dyDescent="0.15">
      <c r="F2032" t="s">
        <v>2456</v>
      </c>
    </row>
    <row r="2033" spans="6:6" x14ac:dyDescent="0.15">
      <c r="F2033" t="s">
        <v>2457</v>
      </c>
    </row>
    <row r="2034" spans="6:6" x14ac:dyDescent="0.15">
      <c r="F2034" t="s">
        <v>2458</v>
      </c>
    </row>
    <row r="2035" spans="6:6" x14ac:dyDescent="0.15">
      <c r="F2035" t="s">
        <v>2459</v>
      </c>
    </row>
    <row r="2036" spans="6:6" x14ac:dyDescent="0.15">
      <c r="F2036" t="s">
        <v>2460</v>
      </c>
    </row>
    <row r="2037" spans="6:6" x14ac:dyDescent="0.15">
      <c r="F2037" t="s">
        <v>2461</v>
      </c>
    </row>
    <row r="2038" spans="6:6" x14ac:dyDescent="0.15">
      <c r="F2038" t="s">
        <v>2462</v>
      </c>
    </row>
    <row r="2039" spans="6:6" x14ac:dyDescent="0.15">
      <c r="F2039" t="s">
        <v>2463</v>
      </c>
    </row>
    <row r="2040" spans="6:6" x14ac:dyDescent="0.15">
      <c r="F2040" t="s">
        <v>2464</v>
      </c>
    </row>
    <row r="2041" spans="6:6" x14ac:dyDescent="0.15">
      <c r="F2041" t="s">
        <v>2465</v>
      </c>
    </row>
    <row r="2042" spans="6:6" x14ac:dyDescent="0.15">
      <c r="F2042" t="s">
        <v>2466</v>
      </c>
    </row>
    <row r="2043" spans="6:6" x14ac:dyDescent="0.15">
      <c r="F2043" t="s">
        <v>2467</v>
      </c>
    </row>
    <row r="2044" spans="6:6" x14ac:dyDescent="0.15">
      <c r="F2044" t="s">
        <v>2468</v>
      </c>
    </row>
    <row r="2045" spans="6:6" x14ac:dyDescent="0.15">
      <c r="F2045" t="s">
        <v>2469</v>
      </c>
    </row>
    <row r="2046" spans="6:6" x14ac:dyDescent="0.15">
      <c r="F2046" t="s">
        <v>2470</v>
      </c>
    </row>
    <row r="2047" spans="6:6" x14ac:dyDescent="0.15">
      <c r="F2047" t="s">
        <v>2471</v>
      </c>
    </row>
    <row r="2048" spans="6:6" x14ac:dyDescent="0.15">
      <c r="F2048" t="s">
        <v>2472</v>
      </c>
    </row>
    <row r="2049" spans="6:6" x14ac:dyDescent="0.15">
      <c r="F2049" t="s">
        <v>2473</v>
      </c>
    </row>
    <row r="2050" spans="6:6" x14ac:dyDescent="0.15">
      <c r="F2050" t="s">
        <v>2474</v>
      </c>
    </row>
    <row r="2051" spans="6:6" x14ac:dyDescent="0.15">
      <c r="F2051" t="s">
        <v>2475</v>
      </c>
    </row>
    <row r="2052" spans="6:6" x14ac:dyDescent="0.15">
      <c r="F2052" t="s">
        <v>2476</v>
      </c>
    </row>
    <row r="2053" spans="6:6" x14ac:dyDescent="0.15">
      <c r="F2053" t="s">
        <v>2477</v>
      </c>
    </row>
    <row r="2054" spans="6:6" x14ac:dyDescent="0.15">
      <c r="F2054" t="s">
        <v>2478</v>
      </c>
    </row>
    <row r="2055" spans="6:6" x14ac:dyDescent="0.15">
      <c r="F2055" t="s">
        <v>2479</v>
      </c>
    </row>
    <row r="2056" spans="6:6" x14ac:dyDescent="0.15">
      <c r="F2056" t="s">
        <v>2480</v>
      </c>
    </row>
    <row r="2057" spans="6:6" x14ac:dyDescent="0.15">
      <c r="F2057" t="s">
        <v>2481</v>
      </c>
    </row>
    <row r="2058" spans="6:6" x14ac:dyDescent="0.15">
      <c r="F2058" t="s">
        <v>2482</v>
      </c>
    </row>
    <row r="2059" spans="6:6" x14ac:dyDescent="0.15">
      <c r="F2059" t="s">
        <v>2483</v>
      </c>
    </row>
    <row r="2060" spans="6:6" x14ac:dyDescent="0.15">
      <c r="F2060" t="s">
        <v>2484</v>
      </c>
    </row>
    <row r="2061" spans="6:6" x14ac:dyDescent="0.15">
      <c r="F2061" t="s">
        <v>2485</v>
      </c>
    </row>
    <row r="2062" spans="6:6" x14ac:dyDescent="0.15">
      <c r="F2062" t="s">
        <v>2486</v>
      </c>
    </row>
    <row r="2063" spans="6:6" x14ac:dyDescent="0.15">
      <c r="F2063" t="s">
        <v>2487</v>
      </c>
    </row>
    <row r="2064" spans="6:6" x14ac:dyDescent="0.15">
      <c r="F2064" t="s">
        <v>2488</v>
      </c>
    </row>
    <row r="2065" spans="6:6" x14ac:dyDescent="0.15">
      <c r="F2065" t="s">
        <v>2489</v>
      </c>
    </row>
    <row r="2066" spans="6:6" x14ac:dyDescent="0.15">
      <c r="F2066" t="s">
        <v>2490</v>
      </c>
    </row>
    <row r="2067" spans="6:6" x14ac:dyDescent="0.15">
      <c r="F2067" t="s">
        <v>2491</v>
      </c>
    </row>
    <row r="2068" spans="6:6" x14ac:dyDescent="0.15">
      <c r="F2068" t="s">
        <v>2492</v>
      </c>
    </row>
    <row r="2069" spans="6:6" x14ac:dyDescent="0.15">
      <c r="F2069" t="s">
        <v>2493</v>
      </c>
    </row>
    <row r="2070" spans="6:6" x14ac:dyDescent="0.15">
      <c r="F2070" t="s">
        <v>2494</v>
      </c>
    </row>
    <row r="2071" spans="6:6" x14ac:dyDescent="0.15">
      <c r="F2071" t="s">
        <v>2495</v>
      </c>
    </row>
    <row r="2072" spans="6:6" x14ac:dyDescent="0.15">
      <c r="F2072" t="s">
        <v>2496</v>
      </c>
    </row>
    <row r="2073" spans="6:6" x14ac:dyDescent="0.15">
      <c r="F2073" t="s">
        <v>2497</v>
      </c>
    </row>
    <row r="2074" spans="6:6" x14ac:dyDescent="0.15">
      <c r="F2074" t="s">
        <v>2498</v>
      </c>
    </row>
    <row r="2075" spans="6:6" x14ac:dyDescent="0.15">
      <c r="F2075" t="s">
        <v>2499</v>
      </c>
    </row>
    <row r="2076" spans="6:6" x14ac:dyDescent="0.15">
      <c r="F2076" t="s">
        <v>2500</v>
      </c>
    </row>
    <row r="2077" spans="6:6" x14ac:dyDescent="0.15">
      <c r="F2077" t="s">
        <v>2501</v>
      </c>
    </row>
    <row r="2078" spans="6:6" x14ac:dyDescent="0.15">
      <c r="F2078" t="s">
        <v>2502</v>
      </c>
    </row>
    <row r="2079" spans="6:6" x14ac:dyDescent="0.15">
      <c r="F2079" t="s">
        <v>2503</v>
      </c>
    </row>
    <row r="2080" spans="6:6" x14ac:dyDescent="0.15">
      <c r="F2080" t="s">
        <v>2504</v>
      </c>
    </row>
    <row r="2081" spans="6:6" x14ac:dyDescent="0.15">
      <c r="F2081" t="s">
        <v>2505</v>
      </c>
    </row>
    <row r="2082" spans="6:6" x14ac:dyDescent="0.15">
      <c r="F2082" t="s">
        <v>2506</v>
      </c>
    </row>
    <row r="2083" spans="6:6" x14ac:dyDescent="0.15">
      <c r="F2083" t="s">
        <v>2507</v>
      </c>
    </row>
    <row r="2084" spans="6:6" x14ac:dyDescent="0.15">
      <c r="F2084" t="s">
        <v>2508</v>
      </c>
    </row>
    <row r="2085" spans="6:6" x14ac:dyDescent="0.15">
      <c r="F2085" t="s">
        <v>2509</v>
      </c>
    </row>
    <row r="2086" spans="6:6" x14ac:dyDescent="0.15">
      <c r="F2086" t="s">
        <v>2510</v>
      </c>
    </row>
    <row r="2087" spans="6:6" x14ac:dyDescent="0.15">
      <c r="F2087" t="s">
        <v>2511</v>
      </c>
    </row>
    <row r="2088" spans="6:6" x14ac:dyDescent="0.15">
      <c r="F2088" t="s">
        <v>2512</v>
      </c>
    </row>
    <row r="2089" spans="6:6" x14ac:dyDescent="0.15">
      <c r="F2089" t="s">
        <v>2513</v>
      </c>
    </row>
    <row r="2090" spans="6:6" x14ac:dyDescent="0.15">
      <c r="F2090" t="s">
        <v>2514</v>
      </c>
    </row>
    <row r="2091" spans="6:6" x14ac:dyDescent="0.15">
      <c r="F2091" t="s">
        <v>2515</v>
      </c>
    </row>
    <row r="2092" spans="6:6" x14ac:dyDescent="0.15">
      <c r="F2092" t="s">
        <v>2516</v>
      </c>
    </row>
    <row r="2093" spans="6:6" x14ac:dyDescent="0.15">
      <c r="F2093" t="s">
        <v>2517</v>
      </c>
    </row>
    <row r="2094" spans="6:6" x14ac:dyDescent="0.15">
      <c r="F2094" t="s">
        <v>2518</v>
      </c>
    </row>
    <row r="2095" spans="6:6" x14ac:dyDescent="0.15">
      <c r="F2095" t="s">
        <v>2519</v>
      </c>
    </row>
    <row r="2096" spans="6:6" x14ac:dyDescent="0.15">
      <c r="F2096" t="s">
        <v>2520</v>
      </c>
    </row>
    <row r="2097" spans="6:6" x14ac:dyDescent="0.15">
      <c r="F2097" t="s">
        <v>2521</v>
      </c>
    </row>
    <row r="2098" spans="6:6" x14ac:dyDescent="0.15">
      <c r="F2098" t="s">
        <v>2522</v>
      </c>
    </row>
    <row r="2099" spans="6:6" x14ac:dyDescent="0.15">
      <c r="F2099" t="s">
        <v>2523</v>
      </c>
    </row>
    <row r="2100" spans="6:6" x14ac:dyDescent="0.15">
      <c r="F2100" t="s">
        <v>2524</v>
      </c>
    </row>
    <row r="2101" spans="6:6" x14ac:dyDescent="0.15">
      <c r="F2101" t="s">
        <v>2525</v>
      </c>
    </row>
    <row r="2102" spans="6:6" x14ac:dyDescent="0.15">
      <c r="F2102" t="s">
        <v>2526</v>
      </c>
    </row>
    <row r="2103" spans="6:6" x14ac:dyDescent="0.15">
      <c r="F2103" t="s">
        <v>2527</v>
      </c>
    </row>
    <row r="2104" spans="6:6" x14ac:dyDescent="0.15">
      <c r="F2104" t="s">
        <v>2528</v>
      </c>
    </row>
    <row r="2105" spans="6:6" x14ac:dyDescent="0.15">
      <c r="F2105" t="s">
        <v>2529</v>
      </c>
    </row>
    <row r="2106" spans="6:6" x14ac:dyDescent="0.15">
      <c r="F2106" t="s">
        <v>2530</v>
      </c>
    </row>
    <row r="2107" spans="6:6" x14ac:dyDescent="0.15">
      <c r="F2107" t="s">
        <v>2531</v>
      </c>
    </row>
    <row r="2108" spans="6:6" x14ac:dyDescent="0.15">
      <c r="F2108" t="s">
        <v>2532</v>
      </c>
    </row>
    <row r="2109" spans="6:6" x14ac:dyDescent="0.15">
      <c r="F2109" t="s">
        <v>2533</v>
      </c>
    </row>
    <row r="2110" spans="6:6" x14ac:dyDescent="0.15">
      <c r="F2110" t="s">
        <v>2534</v>
      </c>
    </row>
    <row r="2111" spans="6:6" x14ac:dyDescent="0.15">
      <c r="F2111" t="s">
        <v>2535</v>
      </c>
    </row>
    <row r="2112" spans="6:6" x14ac:dyDescent="0.15">
      <c r="F2112" t="s">
        <v>2536</v>
      </c>
    </row>
    <row r="2113" spans="6:6" x14ac:dyDescent="0.15">
      <c r="F2113" t="s">
        <v>2537</v>
      </c>
    </row>
    <row r="2114" spans="6:6" x14ac:dyDescent="0.15">
      <c r="F2114" t="s">
        <v>2538</v>
      </c>
    </row>
    <row r="2115" spans="6:6" x14ac:dyDescent="0.15">
      <c r="F2115" t="s">
        <v>2539</v>
      </c>
    </row>
    <row r="2116" spans="6:6" x14ac:dyDescent="0.15">
      <c r="F2116" t="s">
        <v>2540</v>
      </c>
    </row>
    <row r="2117" spans="6:6" x14ac:dyDescent="0.15">
      <c r="F2117" t="s">
        <v>2541</v>
      </c>
    </row>
    <row r="2118" spans="6:6" x14ac:dyDescent="0.15">
      <c r="F2118" t="s">
        <v>2542</v>
      </c>
    </row>
    <row r="2119" spans="6:6" x14ac:dyDescent="0.15">
      <c r="F2119" t="s">
        <v>2543</v>
      </c>
    </row>
    <row r="2120" spans="6:6" x14ac:dyDescent="0.15">
      <c r="F2120" t="s">
        <v>2544</v>
      </c>
    </row>
    <row r="2121" spans="6:6" x14ac:dyDescent="0.15">
      <c r="F2121" t="s">
        <v>2545</v>
      </c>
    </row>
    <row r="2122" spans="6:6" x14ac:dyDescent="0.15">
      <c r="F2122" t="s">
        <v>2546</v>
      </c>
    </row>
    <row r="2123" spans="6:6" x14ac:dyDescent="0.15">
      <c r="F2123" t="s">
        <v>2547</v>
      </c>
    </row>
    <row r="2124" spans="6:6" x14ac:dyDescent="0.15">
      <c r="F2124" t="s">
        <v>2548</v>
      </c>
    </row>
    <row r="2125" spans="6:6" x14ac:dyDescent="0.15">
      <c r="F2125" t="s">
        <v>2549</v>
      </c>
    </row>
    <row r="2126" spans="6:6" x14ac:dyDescent="0.15">
      <c r="F2126" t="s">
        <v>2550</v>
      </c>
    </row>
    <row r="2127" spans="6:6" x14ac:dyDescent="0.15">
      <c r="F2127" t="s">
        <v>2551</v>
      </c>
    </row>
    <row r="2128" spans="6:6" x14ac:dyDescent="0.15">
      <c r="F2128" t="s">
        <v>2552</v>
      </c>
    </row>
    <row r="2129" spans="6:6" x14ac:dyDescent="0.15">
      <c r="F2129" t="s">
        <v>2553</v>
      </c>
    </row>
    <row r="2130" spans="6:6" x14ac:dyDescent="0.15">
      <c r="F2130" t="s">
        <v>2554</v>
      </c>
    </row>
    <row r="2131" spans="6:6" x14ac:dyDescent="0.15">
      <c r="F2131" t="s">
        <v>2555</v>
      </c>
    </row>
    <row r="2132" spans="6:6" x14ac:dyDescent="0.15">
      <c r="F2132" t="s">
        <v>219</v>
      </c>
    </row>
    <row r="2133" spans="6:6" x14ac:dyDescent="0.15">
      <c r="F2133" t="s">
        <v>2556</v>
      </c>
    </row>
    <row r="2134" spans="6:6" x14ac:dyDescent="0.15">
      <c r="F2134" t="s">
        <v>2557</v>
      </c>
    </row>
    <row r="2135" spans="6:6" x14ac:dyDescent="0.15">
      <c r="F2135" t="s">
        <v>2558</v>
      </c>
    </row>
    <row r="2136" spans="6:6" x14ac:dyDescent="0.15">
      <c r="F2136" t="s">
        <v>2559</v>
      </c>
    </row>
    <row r="2137" spans="6:6" x14ac:dyDescent="0.15">
      <c r="F2137" t="s">
        <v>2560</v>
      </c>
    </row>
    <row r="2138" spans="6:6" x14ac:dyDescent="0.15">
      <c r="F2138" t="s">
        <v>2561</v>
      </c>
    </row>
    <row r="2139" spans="6:6" x14ac:dyDescent="0.15">
      <c r="F2139" t="s">
        <v>2562</v>
      </c>
    </row>
    <row r="2140" spans="6:6" x14ac:dyDescent="0.15">
      <c r="F2140" t="s">
        <v>2563</v>
      </c>
    </row>
    <row r="2141" spans="6:6" x14ac:dyDescent="0.15">
      <c r="F2141" t="s">
        <v>2564</v>
      </c>
    </row>
    <row r="2142" spans="6:6" x14ac:dyDescent="0.15">
      <c r="F2142" t="s">
        <v>2565</v>
      </c>
    </row>
    <row r="2143" spans="6:6" x14ac:dyDescent="0.15">
      <c r="F2143" t="s">
        <v>2566</v>
      </c>
    </row>
    <row r="2144" spans="6:6" x14ac:dyDescent="0.15">
      <c r="F2144" t="s">
        <v>2567</v>
      </c>
    </row>
    <row r="2145" spans="6:6" x14ac:dyDescent="0.15">
      <c r="F2145" t="s">
        <v>2568</v>
      </c>
    </row>
    <row r="2146" spans="6:6" x14ac:dyDescent="0.15">
      <c r="F2146" t="s">
        <v>2569</v>
      </c>
    </row>
    <row r="2147" spans="6:6" x14ac:dyDescent="0.15">
      <c r="F2147" t="s">
        <v>2570</v>
      </c>
    </row>
    <row r="2148" spans="6:6" x14ac:dyDescent="0.15">
      <c r="F2148" t="s">
        <v>2571</v>
      </c>
    </row>
    <row r="2149" spans="6:6" x14ac:dyDescent="0.15">
      <c r="F2149" t="s">
        <v>2572</v>
      </c>
    </row>
    <row r="2150" spans="6:6" x14ac:dyDescent="0.15">
      <c r="F2150" t="s">
        <v>2573</v>
      </c>
    </row>
    <row r="2151" spans="6:6" x14ac:dyDescent="0.15">
      <c r="F2151" t="s">
        <v>2574</v>
      </c>
    </row>
    <row r="2152" spans="6:6" x14ac:dyDescent="0.15">
      <c r="F2152" t="s">
        <v>2575</v>
      </c>
    </row>
    <row r="2153" spans="6:6" x14ac:dyDescent="0.15">
      <c r="F2153" t="s">
        <v>2576</v>
      </c>
    </row>
    <row r="2154" spans="6:6" x14ac:dyDescent="0.15">
      <c r="F2154" t="s">
        <v>2577</v>
      </c>
    </row>
    <row r="2155" spans="6:6" x14ac:dyDescent="0.15">
      <c r="F2155" t="s">
        <v>2578</v>
      </c>
    </row>
    <row r="2156" spans="6:6" x14ac:dyDescent="0.15">
      <c r="F2156" t="s">
        <v>2579</v>
      </c>
    </row>
    <row r="2157" spans="6:6" x14ac:dyDescent="0.15">
      <c r="F2157" t="s">
        <v>2580</v>
      </c>
    </row>
    <row r="2158" spans="6:6" x14ac:dyDescent="0.15">
      <c r="F2158" t="s">
        <v>2581</v>
      </c>
    </row>
    <row r="2159" spans="6:6" x14ac:dyDescent="0.15">
      <c r="F2159" t="s">
        <v>2582</v>
      </c>
    </row>
    <row r="2160" spans="6:6" x14ac:dyDescent="0.15">
      <c r="F2160" t="s">
        <v>2583</v>
      </c>
    </row>
    <row r="2161" spans="6:6" x14ac:dyDescent="0.15">
      <c r="F2161" t="s">
        <v>2584</v>
      </c>
    </row>
    <row r="2162" spans="6:6" x14ac:dyDescent="0.15">
      <c r="F2162" t="s">
        <v>2585</v>
      </c>
    </row>
    <row r="2163" spans="6:6" x14ac:dyDescent="0.15">
      <c r="F2163" t="s">
        <v>2586</v>
      </c>
    </row>
    <row r="2164" spans="6:6" x14ac:dyDescent="0.15">
      <c r="F2164" t="s">
        <v>2587</v>
      </c>
    </row>
    <row r="2165" spans="6:6" x14ac:dyDescent="0.15">
      <c r="F2165" t="s">
        <v>2588</v>
      </c>
    </row>
    <row r="2166" spans="6:6" x14ac:dyDescent="0.15">
      <c r="F2166" t="s">
        <v>2589</v>
      </c>
    </row>
    <row r="2167" spans="6:6" x14ac:dyDescent="0.15">
      <c r="F2167" t="s">
        <v>2590</v>
      </c>
    </row>
    <row r="2168" spans="6:6" x14ac:dyDescent="0.15">
      <c r="F2168" t="s">
        <v>2591</v>
      </c>
    </row>
    <row r="2169" spans="6:6" x14ac:dyDescent="0.15">
      <c r="F2169" t="s">
        <v>2592</v>
      </c>
    </row>
    <row r="2170" spans="6:6" x14ac:dyDescent="0.15">
      <c r="F2170" t="s">
        <v>2593</v>
      </c>
    </row>
    <row r="2171" spans="6:6" x14ac:dyDescent="0.15">
      <c r="F2171" t="s">
        <v>2594</v>
      </c>
    </row>
    <row r="2172" spans="6:6" x14ac:dyDescent="0.15">
      <c r="F2172" t="s">
        <v>2595</v>
      </c>
    </row>
    <row r="2173" spans="6:6" x14ac:dyDescent="0.15">
      <c r="F2173" t="s">
        <v>2596</v>
      </c>
    </row>
    <row r="2174" spans="6:6" x14ac:dyDescent="0.15">
      <c r="F2174" t="s">
        <v>2597</v>
      </c>
    </row>
    <row r="2175" spans="6:6" x14ac:dyDescent="0.15">
      <c r="F2175" t="s">
        <v>2598</v>
      </c>
    </row>
    <row r="2176" spans="6:6" x14ac:dyDescent="0.15">
      <c r="F2176" t="s">
        <v>2599</v>
      </c>
    </row>
    <row r="2177" spans="6:6" x14ac:dyDescent="0.15">
      <c r="F2177" t="s">
        <v>158</v>
      </c>
    </row>
    <row r="2178" spans="6:6" x14ac:dyDescent="0.15">
      <c r="F2178" t="s">
        <v>2600</v>
      </c>
    </row>
    <row r="2179" spans="6:6" x14ac:dyDescent="0.15">
      <c r="F2179" t="s">
        <v>2601</v>
      </c>
    </row>
    <row r="2180" spans="6:6" x14ac:dyDescent="0.15">
      <c r="F2180" t="s">
        <v>2602</v>
      </c>
    </row>
    <row r="2181" spans="6:6" x14ac:dyDescent="0.15">
      <c r="F2181" t="s">
        <v>2603</v>
      </c>
    </row>
    <row r="2182" spans="6:6" x14ac:dyDescent="0.15">
      <c r="F2182" t="s">
        <v>2604</v>
      </c>
    </row>
    <row r="2183" spans="6:6" x14ac:dyDescent="0.15">
      <c r="F2183" t="s">
        <v>2605</v>
      </c>
    </row>
    <row r="2184" spans="6:6" x14ac:dyDescent="0.15">
      <c r="F2184" t="s">
        <v>2606</v>
      </c>
    </row>
    <row r="2185" spans="6:6" x14ac:dyDescent="0.15">
      <c r="F2185" t="s">
        <v>2607</v>
      </c>
    </row>
    <row r="2186" spans="6:6" x14ac:dyDescent="0.15">
      <c r="F2186" t="s">
        <v>2608</v>
      </c>
    </row>
    <row r="2187" spans="6:6" x14ac:dyDescent="0.15">
      <c r="F2187" t="s">
        <v>2609</v>
      </c>
    </row>
    <row r="2188" spans="6:6" x14ac:dyDescent="0.15">
      <c r="F2188" t="s">
        <v>2610</v>
      </c>
    </row>
    <row r="2189" spans="6:6" x14ac:dyDescent="0.15">
      <c r="F2189" t="s">
        <v>2611</v>
      </c>
    </row>
    <row r="2190" spans="6:6" x14ac:dyDescent="0.15">
      <c r="F2190" t="s">
        <v>2612</v>
      </c>
    </row>
    <row r="2191" spans="6:6" x14ac:dyDescent="0.15">
      <c r="F2191" t="s">
        <v>2613</v>
      </c>
    </row>
    <row r="2192" spans="6:6" x14ac:dyDescent="0.15">
      <c r="F2192" t="s">
        <v>2614</v>
      </c>
    </row>
    <row r="2193" spans="6:6" x14ac:dyDescent="0.15">
      <c r="F2193" t="s">
        <v>2615</v>
      </c>
    </row>
    <row r="2194" spans="6:6" x14ac:dyDescent="0.15">
      <c r="F2194" t="s">
        <v>2616</v>
      </c>
    </row>
    <row r="2195" spans="6:6" x14ac:dyDescent="0.15">
      <c r="F2195" t="s">
        <v>2617</v>
      </c>
    </row>
    <row r="2196" spans="6:6" x14ac:dyDescent="0.15">
      <c r="F2196" t="s">
        <v>2618</v>
      </c>
    </row>
    <row r="2197" spans="6:6" x14ac:dyDescent="0.15">
      <c r="F2197" t="s">
        <v>2619</v>
      </c>
    </row>
    <row r="2198" spans="6:6" x14ac:dyDescent="0.15">
      <c r="F2198" t="s">
        <v>2620</v>
      </c>
    </row>
    <row r="2199" spans="6:6" x14ac:dyDescent="0.15">
      <c r="F2199" t="s">
        <v>2621</v>
      </c>
    </row>
    <row r="2200" spans="6:6" x14ac:dyDescent="0.15">
      <c r="F2200" t="s">
        <v>2622</v>
      </c>
    </row>
    <row r="2201" spans="6:6" x14ac:dyDescent="0.15">
      <c r="F2201" t="s">
        <v>982</v>
      </c>
    </row>
    <row r="2202" spans="6:6" x14ac:dyDescent="0.15">
      <c r="F2202" t="s">
        <v>2623</v>
      </c>
    </row>
    <row r="2203" spans="6:6" x14ac:dyDescent="0.15">
      <c r="F2203" t="s">
        <v>2624</v>
      </c>
    </row>
    <row r="2204" spans="6:6" x14ac:dyDescent="0.15">
      <c r="F2204" t="s">
        <v>2625</v>
      </c>
    </row>
    <row r="2205" spans="6:6" x14ac:dyDescent="0.15">
      <c r="F2205" t="s">
        <v>103</v>
      </c>
    </row>
    <row r="2206" spans="6:6" x14ac:dyDescent="0.15">
      <c r="F2206" t="s">
        <v>2626</v>
      </c>
    </row>
    <row r="2207" spans="6:6" x14ac:dyDescent="0.15">
      <c r="F2207" t="s">
        <v>2627</v>
      </c>
    </row>
    <row r="2208" spans="6:6" x14ac:dyDescent="0.15">
      <c r="F2208" t="s">
        <v>2628</v>
      </c>
    </row>
    <row r="2209" spans="6:6" x14ac:dyDescent="0.15">
      <c r="F2209" t="s">
        <v>2629</v>
      </c>
    </row>
    <row r="2210" spans="6:6" x14ac:dyDescent="0.15">
      <c r="F2210" t="s">
        <v>2630</v>
      </c>
    </row>
    <row r="2211" spans="6:6" x14ac:dyDescent="0.15">
      <c r="F2211" t="s">
        <v>2631</v>
      </c>
    </row>
    <row r="2212" spans="6:6" x14ac:dyDescent="0.15">
      <c r="F2212" t="s">
        <v>2632</v>
      </c>
    </row>
    <row r="2213" spans="6:6" x14ac:dyDescent="0.15">
      <c r="F2213" t="s">
        <v>2633</v>
      </c>
    </row>
    <row r="2214" spans="6:6" x14ac:dyDescent="0.15">
      <c r="F2214" t="s">
        <v>2634</v>
      </c>
    </row>
    <row r="2215" spans="6:6" x14ac:dyDescent="0.15">
      <c r="F2215" t="s">
        <v>2635</v>
      </c>
    </row>
    <row r="2216" spans="6:6" x14ac:dyDescent="0.15">
      <c r="F2216" t="s">
        <v>2636</v>
      </c>
    </row>
    <row r="2217" spans="6:6" x14ac:dyDescent="0.15">
      <c r="F2217" t="s">
        <v>2637</v>
      </c>
    </row>
    <row r="2218" spans="6:6" x14ac:dyDescent="0.15">
      <c r="F2218" t="s">
        <v>209</v>
      </c>
    </row>
    <row r="2219" spans="6:6" x14ac:dyDescent="0.15">
      <c r="F2219" t="s">
        <v>2638</v>
      </c>
    </row>
    <row r="2220" spans="6:6" x14ac:dyDescent="0.15">
      <c r="F2220" t="s">
        <v>2639</v>
      </c>
    </row>
    <row r="2221" spans="6:6" x14ac:dyDescent="0.15">
      <c r="F2221" t="s">
        <v>2640</v>
      </c>
    </row>
    <row r="2222" spans="6:6" x14ac:dyDescent="0.15">
      <c r="F2222" t="s">
        <v>2641</v>
      </c>
    </row>
    <row r="2223" spans="6:6" x14ac:dyDescent="0.15">
      <c r="F2223" t="s">
        <v>2642</v>
      </c>
    </row>
    <row r="2224" spans="6:6" x14ac:dyDescent="0.15">
      <c r="F2224" t="s">
        <v>2643</v>
      </c>
    </row>
    <row r="2225" spans="6:6" x14ac:dyDescent="0.15">
      <c r="F2225" t="s">
        <v>2644</v>
      </c>
    </row>
    <row r="2226" spans="6:6" x14ac:dyDescent="0.15">
      <c r="F2226" t="s">
        <v>2645</v>
      </c>
    </row>
    <row r="2227" spans="6:6" x14ac:dyDescent="0.15">
      <c r="F2227" t="s">
        <v>2646</v>
      </c>
    </row>
    <row r="2228" spans="6:6" x14ac:dyDescent="0.15">
      <c r="F2228" t="s">
        <v>2647</v>
      </c>
    </row>
    <row r="2229" spans="6:6" x14ac:dyDescent="0.15">
      <c r="F2229" t="s">
        <v>2648</v>
      </c>
    </row>
    <row r="2230" spans="6:6" x14ac:dyDescent="0.15">
      <c r="F2230" t="s">
        <v>2649</v>
      </c>
    </row>
    <row r="2231" spans="6:6" x14ac:dyDescent="0.15">
      <c r="F2231" t="s">
        <v>2650</v>
      </c>
    </row>
    <row r="2232" spans="6:6" x14ac:dyDescent="0.15">
      <c r="F2232" t="s">
        <v>2651</v>
      </c>
    </row>
    <row r="2233" spans="6:6" x14ac:dyDescent="0.15">
      <c r="F2233" t="s">
        <v>2652</v>
      </c>
    </row>
    <row r="2234" spans="6:6" x14ac:dyDescent="0.15">
      <c r="F2234" t="s">
        <v>2653</v>
      </c>
    </row>
    <row r="2235" spans="6:6" x14ac:dyDescent="0.15">
      <c r="F2235" t="s">
        <v>2654</v>
      </c>
    </row>
    <row r="2236" spans="6:6" x14ac:dyDescent="0.15">
      <c r="F2236" t="s">
        <v>2655</v>
      </c>
    </row>
    <row r="2237" spans="6:6" x14ac:dyDescent="0.15">
      <c r="F2237" t="s">
        <v>2656</v>
      </c>
    </row>
    <row r="2238" spans="6:6" x14ac:dyDescent="0.15">
      <c r="F2238" t="s">
        <v>2657</v>
      </c>
    </row>
    <row r="2239" spans="6:6" x14ac:dyDescent="0.15">
      <c r="F2239" t="s">
        <v>2658</v>
      </c>
    </row>
    <row r="2240" spans="6:6" x14ac:dyDescent="0.15">
      <c r="F2240" t="s">
        <v>2659</v>
      </c>
    </row>
    <row r="2241" spans="6:6" x14ac:dyDescent="0.15">
      <c r="F2241" t="s">
        <v>2660</v>
      </c>
    </row>
    <row r="2242" spans="6:6" x14ac:dyDescent="0.15">
      <c r="F2242" t="s">
        <v>2661</v>
      </c>
    </row>
    <row r="2243" spans="6:6" x14ac:dyDescent="0.15">
      <c r="F2243" t="s">
        <v>2662</v>
      </c>
    </row>
    <row r="2244" spans="6:6" x14ac:dyDescent="0.15">
      <c r="F2244" t="s">
        <v>2663</v>
      </c>
    </row>
    <row r="2245" spans="6:6" x14ac:dyDescent="0.15">
      <c r="F2245" t="s">
        <v>2664</v>
      </c>
    </row>
    <row r="2246" spans="6:6" x14ac:dyDescent="0.15">
      <c r="F2246" t="s">
        <v>2665</v>
      </c>
    </row>
    <row r="2247" spans="6:6" x14ac:dyDescent="0.15">
      <c r="F2247" t="s">
        <v>2666</v>
      </c>
    </row>
    <row r="2248" spans="6:6" x14ac:dyDescent="0.15">
      <c r="F2248" t="s">
        <v>2667</v>
      </c>
    </row>
    <row r="2249" spans="6:6" x14ac:dyDescent="0.15">
      <c r="F2249" t="s">
        <v>2668</v>
      </c>
    </row>
    <row r="2250" spans="6:6" x14ac:dyDescent="0.15">
      <c r="F2250" t="s">
        <v>2669</v>
      </c>
    </row>
    <row r="2251" spans="6:6" x14ac:dyDescent="0.15">
      <c r="F2251" t="s">
        <v>2670</v>
      </c>
    </row>
    <row r="2252" spans="6:6" x14ac:dyDescent="0.15">
      <c r="F2252" t="s">
        <v>2671</v>
      </c>
    </row>
    <row r="2253" spans="6:6" x14ac:dyDescent="0.15">
      <c r="F2253" t="s">
        <v>2672</v>
      </c>
    </row>
    <row r="2254" spans="6:6" x14ac:dyDescent="0.15">
      <c r="F2254" t="s">
        <v>2673</v>
      </c>
    </row>
    <row r="2255" spans="6:6" x14ac:dyDescent="0.15">
      <c r="F2255" t="s">
        <v>2674</v>
      </c>
    </row>
    <row r="2256" spans="6:6" x14ac:dyDescent="0.15">
      <c r="F2256" t="s">
        <v>2675</v>
      </c>
    </row>
    <row r="2257" spans="6:6" x14ac:dyDescent="0.15">
      <c r="F2257" t="s">
        <v>2676</v>
      </c>
    </row>
    <row r="2258" spans="6:6" x14ac:dyDescent="0.15">
      <c r="F2258" t="s">
        <v>2677</v>
      </c>
    </row>
    <row r="2259" spans="6:6" x14ac:dyDescent="0.15">
      <c r="F2259" t="s">
        <v>2678</v>
      </c>
    </row>
    <row r="2260" spans="6:6" x14ac:dyDescent="0.15">
      <c r="F2260" t="s">
        <v>2679</v>
      </c>
    </row>
    <row r="2261" spans="6:6" x14ac:dyDescent="0.15">
      <c r="F2261" t="s">
        <v>2680</v>
      </c>
    </row>
    <row r="2262" spans="6:6" x14ac:dyDescent="0.15">
      <c r="F2262" t="s">
        <v>2681</v>
      </c>
    </row>
    <row r="2263" spans="6:6" x14ac:dyDescent="0.15">
      <c r="F2263" t="s">
        <v>2682</v>
      </c>
    </row>
    <row r="2264" spans="6:6" x14ac:dyDescent="0.15">
      <c r="F2264" t="s">
        <v>2683</v>
      </c>
    </row>
    <row r="2265" spans="6:6" x14ac:dyDescent="0.15">
      <c r="F2265" t="s">
        <v>2684</v>
      </c>
    </row>
    <row r="2266" spans="6:6" x14ac:dyDescent="0.15">
      <c r="F2266" t="s">
        <v>2685</v>
      </c>
    </row>
    <row r="2267" spans="6:6" x14ac:dyDescent="0.15">
      <c r="F2267" t="s">
        <v>2686</v>
      </c>
    </row>
    <row r="2268" spans="6:6" x14ac:dyDescent="0.15">
      <c r="F2268" t="s">
        <v>2687</v>
      </c>
    </row>
    <row r="2269" spans="6:6" x14ac:dyDescent="0.15">
      <c r="F2269" t="s">
        <v>2688</v>
      </c>
    </row>
    <row r="2270" spans="6:6" x14ac:dyDescent="0.15">
      <c r="F2270" t="s">
        <v>2689</v>
      </c>
    </row>
    <row r="2271" spans="6:6" x14ac:dyDescent="0.15">
      <c r="F2271" t="s">
        <v>2690</v>
      </c>
    </row>
    <row r="2272" spans="6:6" x14ac:dyDescent="0.15">
      <c r="F2272" t="s">
        <v>2691</v>
      </c>
    </row>
    <row r="2273" spans="6:6" x14ac:dyDescent="0.15">
      <c r="F2273" t="s">
        <v>2692</v>
      </c>
    </row>
    <row r="2274" spans="6:6" x14ac:dyDescent="0.15">
      <c r="F2274" t="s">
        <v>2693</v>
      </c>
    </row>
    <row r="2275" spans="6:6" x14ac:dyDescent="0.15">
      <c r="F2275" t="s">
        <v>2694</v>
      </c>
    </row>
    <row r="2276" spans="6:6" x14ac:dyDescent="0.15">
      <c r="F2276" t="s">
        <v>2695</v>
      </c>
    </row>
    <row r="2277" spans="6:6" x14ac:dyDescent="0.15">
      <c r="F2277" t="s">
        <v>2696</v>
      </c>
    </row>
    <row r="2278" spans="6:6" x14ac:dyDescent="0.15">
      <c r="F2278" t="s">
        <v>2697</v>
      </c>
    </row>
    <row r="2279" spans="6:6" x14ac:dyDescent="0.15">
      <c r="F2279" t="s">
        <v>2698</v>
      </c>
    </row>
    <row r="2280" spans="6:6" x14ac:dyDescent="0.15">
      <c r="F2280" t="s">
        <v>2699</v>
      </c>
    </row>
    <row r="2281" spans="6:6" x14ac:dyDescent="0.15">
      <c r="F2281" t="s">
        <v>2700</v>
      </c>
    </row>
    <row r="2282" spans="6:6" x14ac:dyDescent="0.15">
      <c r="F2282" t="s">
        <v>2701</v>
      </c>
    </row>
    <row r="2283" spans="6:6" x14ac:dyDescent="0.15">
      <c r="F2283" t="s">
        <v>2702</v>
      </c>
    </row>
    <row r="2284" spans="6:6" x14ac:dyDescent="0.15">
      <c r="F2284" t="s">
        <v>2703</v>
      </c>
    </row>
    <row r="2285" spans="6:6" x14ac:dyDescent="0.15">
      <c r="F2285" t="s">
        <v>2704</v>
      </c>
    </row>
    <row r="2286" spans="6:6" x14ac:dyDescent="0.15">
      <c r="F2286" t="s">
        <v>2705</v>
      </c>
    </row>
    <row r="2287" spans="6:6" x14ac:dyDescent="0.15">
      <c r="F2287" t="s">
        <v>2706</v>
      </c>
    </row>
    <row r="2288" spans="6:6" x14ac:dyDescent="0.15">
      <c r="F2288" t="s">
        <v>2707</v>
      </c>
    </row>
    <row r="2289" spans="6:6" x14ac:dyDescent="0.15">
      <c r="F2289" t="s">
        <v>2708</v>
      </c>
    </row>
    <row r="2290" spans="6:6" x14ac:dyDescent="0.15">
      <c r="F2290" t="s">
        <v>235</v>
      </c>
    </row>
    <row r="2291" spans="6:6" x14ac:dyDescent="0.15">
      <c r="F2291" t="s">
        <v>2709</v>
      </c>
    </row>
    <row r="2292" spans="6:6" x14ac:dyDescent="0.15">
      <c r="F2292" t="s">
        <v>2710</v>
      </c>
    </row>
    <row r="2293" spans="6:6" x14ac:dyDescent="0.15">
      <c r="F2293" t="s">
        <v>2711</v>
      </c>
    </row>
    <row r="2294" spans="6:6" x14ac:dyDescent="0.15">
      <c r="F2294" t="s">
        <v>2712</v>
      </c>
    </row>
    <row r="2295" spans="6:6" x14ac:dyDescent="0.15">
      <c r="F2295" t="s">
        <v>2713</v>
      </c>
    </row>
    <row r="2296" spans="6:6" x14ac:dyDescent="0.15">
      <c r="F2296" t="s">
        <v>2714</v>
      </c>
    </row>
    <row r="2297" spans="6:6" x14ac:dyDescent="0.15">
      <c r="F2297" t="s">
        <v>2715</v>
      </c>
    </row>
    <row r="2298" spans="6:6" x14ac:dyDescent="0.15">
      <c r="F2298" t="s">
        <v>2716</v>
      </c>
    </row>
    <row r="2299" spans="6:6" x14ac:dyDescent="0.15">
      <c r="F2299" t="s">
        <v>2717</v>
      </c>
    </row>
    <row r="2300" spans="6:6" x14ac:dyDescent="0.15">
      <c r="F2300" t="s">
        <v>2718</v>
      </c>
    </row>
    <row r="2301" spans="6:6" x14ac:dyDescent="0.15">
      <c r="F2301" t="s">
        <v>2719</v>
      </c>
    </row>
    <row r="2302" spans="6:6" x14ac:dyDescent="0.15">
      <c r="F2302" t="s">
        <v>2720</v>
      </c>
    </row>
    <row r="2303" spans="6:6" x14ac:dyDescent="0.15">
      <c r="F2303" t="s">
        <v>2721</v>
      </c>
    </row>
    <row r="2304" spans="6:6" x14ac:dyDescent="0.15">
      <c r="F2304" t="s">
        <v>2722</v>
      </c>
    </row>
    <row r="2305" spans="6:6" x14ac:dyDescent="0.15">
      <c r="F2305" t="s">
        <v>2723</v>
      </c>
    </row>
    <row r="2306" spans="6:6" x14ac:dyDescent="0.15">
      <c r="F2306" t="s">
        <v>2724</v>
      </c>
    </row>
    <row r="2307" spans="6:6" x14ac:dyDescent="0.15">
      <c r="F2307" t="s">
        <v>2725</v>
      </c>
    </row>
    <row r="2308" spans="6:6" x14ac:dyDescent="0.15">
      <c r="F2308" t="s">
        <v>2726</v>
      </c>
    </row>
    <row r="2309" spans="6:6" x14ac:dyDescent="0.15">
      <c r="F2309" t="s">
        <v>2727</v>
      </c>
    </row>
    <row r="2310" spans="6:6" x14ac:dyDescent="0.15">
      <c r="F2310" t="s">
        <v>2728</v>
      </c>
    </row>
    <row r="2311" spans="6:6" x14ac:dyDescent="0.15">
      <c r="F2311" t="s">
        <v>2729</v>
      </c>
    </row>
    <row r="2312" spans="6:6" x14ac:dyDescent="0.15">
      <c r="F2312" t="s">
        <v>2730</v>
      </c>
    </row>
    <row r="2313" spans="6:6" x14ac:dyDescent="0.15">
      <c r="F2313" t="s">
        <v>2731</v>
      </c>
    </row>
    <row r="2314" spans="6:6" x14ac:dyDescent="0.15">
      <c r="F2314" t="s">
        <v>2732</v>
      </c>
    </row>
    <row r="2315" spans="6:6" x14ac:dyDescent="0.15">
      <c r="F2315" t="s">
        <v>2733</v>
      </c>
    </row>
    <row r="2316" spans="6:6" x14ac:dyDescent="0.15">
      <c r="F2316" t="s">
        <v>2734</v>
      </c>
    </row>
    <row r="2317" spans="6:6" x14ac:dyDescent="0.15">
      <c r="F2317" t="s">
        <v>2735</v>
      </c>
    </row>
    <row r="2318" spans="6:6" x14ac:dyDescent="0.15">
      <c r="F2318" t="s">
        <v>2736</v>
      </c>
    </row>
    <row r="2319" spans="6:6" x14ac:dyDescent="0.15">
      <c r="F2319" t="s">
        <v>2737</v>
      </c>
    </row>
    <row r="2320" spans="6:6" x14ac:dyDescent="0.15">
      <c r="F2320" t="s">
        <v>2738</v>
      </c>
    </row>
    <row r="2321" spans="6:6" x14ac:dyDescent="0.15">
      <c r="F2321" t="s">
        <v>2739</v>
      </c>
    </row>
    <row r="2322" spans="6:6" x14ac:dyDescent="0.15">
      <c r="F2322" t="s">
        <v>2740</v>
      </c>
    </row>
    <row r="2323" spans="6:6" x14ac:dyDescent="0.15">
      <c r="F2323" t="s">
        <v>2741</v>
      </c>
    </row>
    <row r="2324" spans="6:6" x14ac:dyDescent="0.15">
      <c r="F2324" t="s">
        <v>2742</v>
      </c>
    </row>
    <row r="2325" spans="6:6" x14ac:dyDescent="0.15">
      <c r="F2325" t="s">
        <v>2743</v>
      </c>
    </row>
    <row r="2326" spans="6:6" x14ac:dyDescent="0.15">
      <c r="F2326" t="s">
        <v>2744</v>
      </c>
    </row>
    <row r="2327" spans="6:6" x14ac:dyDescent="0.15">
      <c r="F2327" t="s">
        <v>2745</v>
      </c>
    </row>
    <row r="2328" spans="6:6" x14ac:dyDescent="0.15">
      <c r="F2328" t="s">
        <v>2746</v>
      </c>
    </row>
    <row r="2329" spans="6:6" x14ac:dyDescent="0.15">
      <c r="F2329" t="s">
        <v>2747</v>
      </c>
    </row>
    <row r="2330" spans="6:6" x14ac:dyDescent="0.15">
      <c r="F2330" t="s">
        <v>2748</v>
      </c>
    </row>
    <row r="2331" spans="6:6" x14ac:dyDescent="0.15">
      <c r="F2331" t="s">
        <v>2749</v>
      </c>
    </row>
    <row r="2332" spans="6:6" x14ac:dyDescent="0.15">
      <c r="F2332" t="s">
        <v>2750</v>
      </c>
    </row>
    <row r="2333" spans="6:6" x14ac:dyDescent="0.15">
      <c r="F2333" t="s">
        <v>2751</v>
      </c>
    </row>
    <row r="2334" spans="6:6" x14ac:dyDescent="0.15">
      <c r="F2334" t="s">
        <v>2752</v>
      </c>
    </row>
    <row r="2335" spans="6:6" x14ac:dyDescent="0.15">
      <c r="F2335" t="s">
        <v>2753</v>
      </c>
    </row>
    <row r="2336" spans="6:6" x14ac:dyDescent="0.15">
      <c r="F2336" t="s">
        <v>2754</v>
      </c>
    </row>
    <row r="2337" spans="6:6" x14ac:dyDescent="0.15">
      <c r="F2337" t="s">
        <v>2755</v>
      </c>
    </row>
    <row r="2338" spans="6:6" x14ac:dyDescent="0.15">
      <c r="F2338" t="s">
        <v>2756</v>
      </c>
    </row>
    <row r="2339" spans="6:6" x14ac:dyDescent="0.15">
      <c r="F2339" t="s">
        <v>2757</v>
      </c>
    </row>
    <row r="2340" spans="6:6" x14ac:dyDescent="0.15">
      <c r="F2340" t="s">
        <v>2758</v>
      </c>
    </row>
    <row r="2341" spans="6:6" x14ac:dyDescent="0.15">
      <c r="F2341" t="s">
        <v>2759</v>
      </c>
    </row>
    <row r="2342" spans="6:6" x14ac:dyDescent="0.15">
      <c r="F2342" t="s">
        <v>2760</v>
      </c>
    </row>
    <row r="2343" spans="6:6" x14ac:dyDescent="0.15">
      <c r="F2343" t="s">
        <v>2761</v>
      </c>
    </row>
    <row r="2344" spans="6:6" x14ac:dyDescent="0.15">
      <c r="F2344" t="s">
        <v>2762</v>
      </c>
    </row>
    <row r="2345" spans="6:6" x14ac:dyDescent="0.15">
      <c r="F2345" t="s">
        <v>2763</v>
      </c>
    </row>
    <row r="2346" spans="6:6" x14ac:dyDescent="0.15">
      <c r="F2346" t="s">
        <v>2764</v>
      </c>
    </row>
    <row r="2347" spans="6:6" x14ac:dyDescent="0.15">
      <c r="F2347" t="s">
        <v>2765</v>
      </c>
    </row>
    <row r="2348" spans="6:6" x14ac:dyDescent="0.15">
      <c r="F2348" t="s">
        <v>2766</v>
      </c>
    </row>
    <row r="2349" spans="6:6" x14ac:dyDescent="0.15">
      <c r="F2349" t="s">
        <v>102</v>
      </c>
    </row>
    <row r="2350" spans="6:6" x14ac:dyDescent="0.15">
      <c r="F2350" t="s">
        <v>2767</v>
      </c>
    </row>
    <row r="2351" spans="6:6" x14ac:dyDescent="0.15">
      <c r="F2351" t="s">
        <v>2768</v>
      </c>
    </row>
    <row r="2352" spans="6:6" x14ac:dyDescent="0.15">
      <c r="F2352" t="s">
        <v>2769</v>
      </c>
    </row>
    <row r="2353" spans="6:6" x14ac:dyDescent="0.15">
      <c r="F2353" t="s">
        <v>2770</v>
      </c>
    </row>
    <row r="2354" spans="6:6" x14ac:dyDescent="0.15">
      <c r="F2354" t="s">
        <v>2771</v>
      </c>
    </row>
    <row r="2355" spans="6:6" x14ac:dyDescent="0.15">
      <c r="F2355" t="s">
        <v>2772</v>
      </c>
    </row>
    <row r="2356" spans="6:6" x14ac:dyDescent="0.15">
      <c r="F2356" t="s">
        <v>2773</v>
      </c>
    </row>
    <row r="2357" spans="6:6" x14ac:dyDescent="0.15">
      <c r="F2357" t="s">
        <v>2774</v>
      </c>
    </row>
    <row r="2358" spans="6:6" x14ac:dyDescent="0.15">
      <c r="F2358" t="s">
        <v>2775</v>
      </c>
    </row>
    <row r="2359" spans="6:6" x14ac:dyDescent="0.15">
      <c r="F2359" t="s">
        <v>2776</v>
      </c>
    </row>
    <row r="2360" spans="6:6" x14ac:dyDescent="0.15">
      <c r="F2360" t="s">
        <v>2777</v>
      </c>
    </row>
    <row r="2361" spans="6:6" x14ac:dyDescent="0.15">
      <c r="F2361" t="s">
        <v>2778</v>
      </c>
    </row>
    <row r="2362" spans="6:6" x14ac:dyDescent="0.15">
      <c r="F2362" t="s">
        <v>2779</v>
      </c>
    </row>
    <row r="2363" spans="6:6" x14ac:dyDescent="0.15">
      <c r="F2363" t="s">
        <v>2780</v>
      </c>
    </row>
    <row r="2364" spans="6:6" x14ac:dyDescent="0.15">
      <c r="F2364" t="s">
        <v>2781</v>
      </c>
    </row>
    <row r="2365" spans="6:6" x14ac:dyDescent="0.15">
      <c r="F2365" t="s">
        <v>2782</v>
      </c>
    </row>
    <row r="2366" spans="6:6" x14ac:dyDescent="0.15">
      <c r="F2366" t="s">
        <v>2783</v>
      </c>
    </row>
    <row r="2367" spans="6:6" x14ac:dyDescent="0.15">
      <c r="F2367" t="s">
        <v>2784</v>
      </c>
    </row>
    <row r="2368" spans="6:6" x14ac:dyDescent="0.15">
      <c r="F2368" t="s">
        <v>2785</v>
      </c>
    </row>
    <row r="2369" spans="6:6" x14ac:dyDescent="0.15">
      <c r="F2369" t="s">
        <v>67</v>
      </c>
    </row>
    <row r="2370" spans="6:6" x14ac:dyDescent="0.15">
      <c r="F2370" t="s">
        <v>2786</v>
      </c>
    </row>
    <row r="2371" spans="6:6" x14ac:dyDescent="0.15">
      <c r="F2371" t="s">
        <v>2787</v>
      </c>
    </row>
    <row r="2372" spans="6:6" x14ac:dyDescent="0.15">
      <c r="F2372" t="s">
        <v>2788</v>
      </c>
    </row>
    <row r="2373" spans="6:6" x14ac:dyDescent="0.15">
      <c r="F2373" t="s">
        <v>2789</v>
      </c>
    </row>
    <row r="2374" spans="6:6" x14ac:dyDescent="0.15">
      <c r="F2374" t="s">
        <v>2790</v>
      </c>
    </row>
    <row r="2375" spans="6:6" x14ac:dyDescent="0.15">
      <c r="F2375" t="s">
        <v>2791</v>
      </c>
    </row>
    <row r="2376" spans="6:6" x14ac:dyDescent="0.15">
      <c r="F2376" t="s">
        <v>2792</v>
      </c>
    </row>
    <row r="2377" spans="6:6" x14ac:dyDescent="0.15">
      <c r="F2377" t="s">
        <v>2793</v>
      </c>
    </row>
    <row r="2378" spans="6:6" x14ac:dyDescent="0.15">
      <c r="F2378" t="s">
        <v>2794</v>
      </c>
    </row>
    <row r="2379" spans="6:6" x14ac:dyDescent="0.15">
      <c r="F2379" t="s">
        <v>2795</v>
      </c>
    </row>
    <row r="2380" spans="6:6" x14ac:dyDescent="0.15">
      <c r="F2380" t="s">
        <v>2796</v>
      </c>
    </row>
    <row r="2381" spans="6:6" x14ac:dyDescent="0.15">
      <c r="F2381" t="s">
        <v>2797</v>
      </c>
    </row>
    <row r="2382" spans="6:6" x14ac:dyDescent="0.15">
      <c r="F2382" t="s">
        <v>2798</v>
      </c>
    </row>
    <row r="2383" spans="6:6" x14ac:dyDescent="0.15">
      <c r="F2383" t="s">
        <v>2799</v>
      </c>
    </row>
    <row r="2384" spans="6:6" x14ac:dyDescent="0.15">
      <c r="F2384" t="s">
        <v>2800</v>
      </c>
    </row>
    <row r="2385" spans="6:6" x14ac:dyDescent="0.15">
      <c r="F2385" t="s">
        <v>2801</v>
      </c>
    </row>
    <row r="2386" spans="6:6" x14ac:dyDescent="0.15">
      <c r="F2386" t="s">
        <v>2802</v>
      </c>
    </row>
    <row r="2387" spans="6:6" x14ac:dyDescent="0.15">
      <c r="F2387" t="s">
        <v>2803</v>
      </c>
    </row>
    <row r="2388" spans="6:6" x14ac:dyDescent="0.15">
      <c r="F2388" t="s">
        <v>2804</v>
      </c>
    </row>
    <row r="2389" spans="6:6" x14ac:dyDescent="0.15">
      <c r="F2389" t="s">
        <v>2805</v>
      </c>
    </row>
    <row r="2390" spans="6:6" x14ac:dyDescent="0.15">
      <c r="F2390" t="s">
        <v>2806</v>
      </c>
    </row>
    <row r="2391" spans="6:6" x14ac:dyDescent="0.15">
      <c r="F2391" t="s">
        <v>2807</v>
      </c>
    </row>
    <row r="2392" spans="6:6" x14ac:dyDescent="0.15">
      <c r="F2392" t="s">
        <v>2808</v>
      </c>
    </row>
    <row r="2393" spans="6:6" x14ac:dyDescent="0.15">
      <c r="F2393" t="s">
        <v>2809</v>
      </c>
    </row>
    <row r="2394" spans="6:6" x14ac:dyDescent="0.15">
      <c r="F2394" t="s">
        <v>2810</v>
      </c>
    </row>
    <row r="2395" spans="6:6" x14ac:dyDescent="0.15">
      <c r="F2395" t="s">
        <v>2811</v>
      </c>
    </row>
    <row r="2396" spans="6:6" x14ac:dyDescent="0.15">
      <c r="F2396" t="s">
        <v>2812</v>
      </c>
    </row>
    <row r="2397" spans="6:6" x14ac:dyDescent="0.15">
      <c r="F2397" t="s">
        <v>2813</v>
      </c>
    </row>
    <row r="2398" spans="6:6" x14ac:dyDescent="0.15">
      <c r="F2398" t="s">
        <v>2814</v>
      </c>
    </row>
    <row r="2399" spans="6:6" x14ac:dyDescent="0.15">
      <c r="F2399" t="s">
        <v>2815</v>
      </c>
    </row>
    <row r="2400" spans="6:6" x14ac:dyDescent="0.15">
      <c r="F2400" t="s">
        <v>2816</v>
      </c>
    </row>
    <row r="2401" spans="6:6" x14ac:dyDescent="0.15">
      <c r="F2401" t="s">
        <v>2817</v>
      </c>
    </row>
    <row r="2402" spans="6:6" x14ac:dyDescent="0.15">
      <c r="F2402" t="s">
        <v>2818</v>
      </c>
    </row>
    <row r="2403" spans="6:6" x14ac:dyDescent="0.15">
      <c r="F2403" t="s">
        <v>2819</v>
      </c>
    </row>
    <row r="2404" spans="6:6" x14ac:dyDescent="0.15">
      <c r="F2404" t="s">
        <v>2820</v>
      </c>
    </row>
    <row r="2405" spans="6:6" x14ac:dyDescent="0.15">
      <c r="F2405" t="s">
        <v>2821</v>
      </c>
    </row>
    <row r="2406" spans="6:6" x14ac:dyDescent="0.15">
      <c r="F2406" t="s">
        <v>2822</v>
      </c>
    </row>
    <row r="2407" spans="6:6" x14ac:dyDescent="0.15">
      <c r="F2407" t="s">
        <v>2823</v>
      </c>
    </row>
    <row r="2408" spans="6:6" x14ac:dyDescent="0.15">
      <c r="F2408" t="s">
        <v>2824</v>
      </c>
    </row>
    <row r="2409" spans="6:6" x14ac:dyDescent="0.15">
      <c r="F2409" t="s">
        <v>2825</v>
      </c>
    </row>
    <row r="2410" spans="6:6" x14ac:dyDescent="0.15">
      <c r="F2410" t="s">
        <v>2826</v>
      </c>
    </row>
    <row r="2411" spans="6:6" x14ac:dyDescent="0.15">
      <c r="F2411" t="s">
        <v>2827</v>
      </c>
    </row>
    <row r="2412" spans="6:6" x14ac:dyDescent="0.15">
      <c r="F2412" t="s">
        <v>2828</v>
      </c>
    </row>
    <row r="2413" spans="6:6" x14ac:dyDescent="0.15">
      <c r="F2413" t="s">
        <v>2829</v>
      </c>
    </row>
    <row r="2414" spans="6:6" x14ac:dyDescent="0.15">
      <c r="F2414" t="s">
        <v>2830</v>
      </c>
    </row>
    <row r="2415" spans="6:6" x14ac:dyDescent="0.15">
      <c r="F2415" t="s">
        <v>2831</v>
      </c>
    </row>
    <row r="2416" spans="6:6" x14ac:dyDescent="0.15">
      <c r="F2416" t="s">
        <v>2832</v>
      </c>
    </row>
    <row r="2417" spans="6:6" x14ac:dyDescent="0.15">
      <c r="F2417" t="s">
        <v>2833</v>
      </c>
    </row>
    <row r="2418" spans="6:6" x14ac:dyDescent="0.15">
      <c r="F2418" t="s">
        <v>2834</v>
      </c>
    </row>
    <row r="2419" spans="6:6" x14ac:dyDescent="0.15">
      <c r="F2419" t="s">
        <v>2835</v>
      </c>
    </row>
    <row r="2420" spans="6:6" x14ac:dyDescent="0.15">
      <c r="F2420" t="s">
        <v>2836</v>
      </c>
    </row>
    <row r="2421" spans="6:6" x14ac:dyDescent="0.15">
      <c r="F2421" t="s">
        <v>2837</v>
      </c>
    </row>
  </sheetData>
  <phoneticPr fontId="22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T27"/>
  <sheetViews>
    <sheetView workbookViewId="0">
      <selection activeCell="E25" sqref="E25"/>
    </sheetView>
  </sheetViews>
  <sheetFormatPr baseColWidth="10" defaultColWidth="9.1640625" defaultRowHeight="15" x14ac:dyDescent="0.2"/>
  <cols>
    <col min="1" max="16384" width="9.1640625" style="1"/>
  </cols>
  <sheetData>
    <row r="1" spans="3:20" ht="16" thickBot="1" x14ac:dyDescent="0.25"/>
    <row r="2" spans="3:20" x14ac:dyDescent="0.2">
      <c r="C2" s="2"/>
      <c r="D2" s="3"/>
      <c r="E2" s="3"/>
      <c r="F2" s="3"/>
      <c r="G2" s="3"/>
      <c r="H2" s="3"/>
      <c r="I2" s="4"/>
    </row>
    <row r="3" spans="3:20" x14ac:dyDescent="0.2">
      <c r="C3" s="5"/>
      <c r="D3" s="6" t="s">
        <v>4104</v>
      </c>
      <c r="E3" s="6" t="s">
        <v>4108</v>
      </c>
      <c r="G3" s="7" t="str">
        <f ca="1">INDEX($D$3:$D$12,RANDBETWEEN(1,10))</f>
        <v>b</v>
      </c>
      <c r="H3" s="8" t="str">
        <f ca="1">r_choice_if($D$3:$D$12,$G3,$E$3:$E$12)</f>
        <v>B1</v>
      </c>
      <c r="I3" s="9"/>
    </row>
    <row r="4" spans="3:20" x14ac:dyDescent="0.2">
      <c r="C4" s="5"/>
      <c r="D4" s="6" t="s">
        <v>4104</v>
      </c>
      <c r="E4" s="6" t="s">
        <v>4109</v>
      </c>
      <c r="I4" s="9"/>
    </row>
    <row r="5" spans="3:20" x14ac:dyDescent="0.2">
      <c r="C5" s="5"/>
      <c r="D5" s="6" t="s">
        <v>4104</v>
      </c>
      <c r="E5" s="6" t="s">
        <v>4110</v>
      </c>
      <c r="I5" s="9"/>
    </row>
    <row r="6" spans="3:20" ht="16" thickBot="1" x14ac:dyDescent="0.25">
      <c r="C6" s="5"/>
      <c r="D6" s="6" t="s">
        <v>4105</v>
      </c>
      <c r="E6" s="6" t="s">
        <v>4111</v>
      </c>
      <c r="I6" s="9"/>
    </row>
    <row r="7" spans="3:20" x14ac:dyDescent="0.2">
      <c r="C7" s="5"/>
      <c r="D7" s="6" t="s">
        <v>4105</v>
      </c>
      <c r="E7" s="6" t="s">
        <v>4112</v>
      </c>
      <c r="I7" s="9"/>
      <c r="M7" s="2"/>
      <c r="N7" s="3"/>
      <c r="O7" s="3"/>
      <c r="P7" s="3"/>
      <c r="Q7" s="3"/>
      <c r="R7" s="3"/>
      <c r="S7" s="3"/>
      <c r="T7" s="4"/>
    </row>
    <row r="8" spans="3:20" x14ac:dyDescent="0.2">
      <c r="C8" s="5"/>
      <c r="D8" s="6" t="s">
        <v>4105</v>
      </c>
      <c r="E8" s="6" t="s">
        <v>4113</v>
      </c>
      <c r="I8" s="9"/>
      <c r="M8" s="5"/>
      <c r="N8" s="6" t="s">
        <v>4118</v>
      </c>
      <c r="O8" s="6" t="s">
        <v>4108</v>
      </c>
      <c r="P8" s="6" t="s">
        <v>4109</v>
      </c>
      <c r="Q8" s="6" t="s">
        <v>4110</v>
      </c>
      <c r="T8" s="9"/>
    </row>
    <row r="9" spans="3:20" x14ac:dyDescent="0.2">
      <c r="C9" s="5"/>
      <c r="D9" s="6" t="s">
        <v>4106</v>
      </c>
      <c r="E9" s="6" t="s">
        <v>4114</v>
      </c>
      <c r="I9" s="9"/>
      <c r="M9" s="5"/>
      <c r="N9" s="6" t="s">
        <v>4119</v>
      </c>
      <c r="O9" s="6" t="s">
        <v>4111</v>
      </c>
      <c r="T9" s="9"/>
    </row>
    <row r="10" spans="3:20" x14ac:dyDescent="0.2">
      <c r="C10" s="5"/>
      <c r="D10" s="6" t="s">
        <v>4106</v>
      </c>
      <c r="E10" s="6" t="s">
        <v>4115</v>
      </c>
      <c r="I10" s="9"/>
      <c r="M10" s="5"/>
      <c r="N10" s="6" t="s">
        <v>4120</v>
      </c>
      <c r="O10" s="6" t="s">
        <v>4114</v>
      </c>
      <c r="P10" s="6" t="s">
        <v>4115</v>
      </c>
      <c r="Q10" s="6" t="s">
        <v>4116</v>
      </c>
      <c r="R10" s="6" t="s">
        <v>4121</v>
      </c>
      <c r="S10" s="6" t="s">
        <v>4122</v>
      </c>
      <c r="T10" s="9"/>
    </row>
    <row r="11" spans="3:20" x14ac:dyDescent="0.2">
      <c r="C11" s="5"/>
      <c r="D11" s="6" t="s">
        <v>4106</v>
      </c>
      <c r="E11" s="6" t="s">
        <v>4116</v>
      </c>
      <c r="I11" s="9"/>
      <c r="M11" s="5"/>
      <c r="N11" s="6" t="s">
        <v>4123</v>
      </c>
      <c r="O11" s="6" t="s">
        <v>4117</v>
      </c>
      <c r="P11" s="6" t="s">
        <v>4124</v>
      </c>
      <c r="Q11" s="6" t="s">
        <v>4125</v>
      </c>
      <c r="R11" s="6" t="s">
        <v>4126</v>
      </c>
      <c r="T11" s="9"/>
    </row>
    <row r="12" spans="3:20" x14ac:dyDescent="0.2">
      <c r="C12" s="5"/>
      <c r="D12" s="6" t="s">
        <v>4107</v>
      </c>
      <c r="E12" s="6" t="s">
        <v>4117</v>
      </c>
      <c r="I12" s="9"/>
      <c r="M12" s="5"/>
      <c r="N12" s="6" t="s">
        <v>4127</v>
      </c>
      <c r="O12" s="6" t="s">
        <v>4128</v>
      </c>
      <c r="P12" s="6" t="s">
        <v>4129</v>
      </c>
      <c r="T12" s="9"/>
    </row>
    <row r="13" spans="3:20" ht="16" thickBot="1" x14ac:dyDescent="0.25">
      <c r="C13" s="10"/>
      <c r="D13" s="11"/>
      <c r="E13" s="11"/>
      <c r="F13" s="11"/>
      <c r="G13" s="11"/>
      <c r="H13" s="11"/>
      <c r="I13" s="12"/>
      <c r="M13" s="5"/>
      <c r="T13" s="9"/>
    </row>
    <row r="14" spans="3:20" x14ac:dyDescent="0.2">
      <c r="M14" s="5"/>
      <c r="T14" s="9"/>
    </row>
    <row r="15" spans="3:20" x14ac:dyDescent="0.2">
      <c r="M15" s="5"/>
      <c r="T15" s="9"/>
    </row>
    <row r="16" spans="3:20" x14ac:dyDescent="0.2">
      <c r="M16" s="5"/>
      <c r="N16" s="7" t="str">
        <f ca="1">INDEX($N$8:$N$12,RANDBETWEEN(1,5))</f>
        <v>B</v>
      </c>
      <c r="O16" s="8" t="str">
        <f ca="1">r_choice_cond($N$8:$N$12,$N16,$O$8:$S$12)</f>
        <v>B1</v>
      </c>
      <c r="T16" s="9"/>
    </row>
    <row r="17" spans="1:20" ht="16" thickBot="1" x14ac:dyDescent="0.25">
      <c r="M17" s="10"/>
      <c r="N17" s="11"/>
      <c r="O17" s="11"/>
      <c r="P17" s="11"/>
      <c r="Q17" s="11"/>
      <c r="R17" s="11"/>
      <c r="S17" s="11"/>
      <c r="T17" s="12"/>
    </row>
    <row r="20" spans="1:20" ht="16" thickBot="1" x14ac:dyDescent="0.25"/>
    <row r="21" spans="1:20" x14ac:dyDescent="0.2">
      <c r="A21" s="2"/>
      <c r="B21" s="3"/>
      <c r="C21" s="3"/>
      <c r="D21" s="3"/>
      <c r="E21" s="3"/>
      <c r="F21" s="3"/>
      <c r="G21" s="3"/>
      <c r="H21" s="3"/>
      <c r="I21" s="3"/>
      <c r="J21" s="4"/>
    </row>
    <row r="22" spans="1:20" x14ac:dyDescent="0.2">
      <c r="A22" s="5"/>
      <c r="C22" s="13" t="s">
        <v>4130</v>
      </c>
      <c r="D22" s="13" t="s">
        <v>4131</v>
      </c>
      <c r="E22" s="13" t="s">
        <v>4132</v>
      </c>
      <c r="J22" s="9"/>
    </row>
    <row r="23" spans="1:20" x14ac:dyDescent="0.2">
      <c r="A23" s="5"/>
      <c r="B23" s="1" t="s">
        <v>4118</v>
      </c>
      <c r="C23" s="1">
        <v>0</v>
      </c>
      <c r="D23" s="1">
        <v>10</v>
      </c>
      <c r="E23" s="1">
        <v>0</v>
      </c>
      <c r="H23" s="7" t="str">
        <f ca="1">r_choice($C$22:$E$22)</f>
        <v>K</v>
      </c>
      <c r="I23" s="8" t="str">
        <f ca="1">r_tbl_cond($B$23:$B$26,$C$22:$E$26,H23)</f>
        <v>C</v>
      </c>
      <c r="J23" s="9"/>
    </row>
    <row r="24" spans="1:20" x14ac:dyDescent="0.2">
      <c r="A24" s="5"/>
      <c r="B24" s="1" t="s">
        <v>4119</v>
      </c>
      <c r="C24" s="1">
        <v>5</v>
      </c>
      <c r="D24" s="1">
        <v>0</v>
      </c>
      <c r="E24" s="1">
        <v>0</v>
      </c>
      <c r="J24" s="9"/>
    </row>
    <row r="25" spans="1:20" x14ac:dyDescent="0.2">
      <c r="A25" s="5"/>
      <c r="B25" s="1" t="s">
        <v>4120</v>
      </c>
      <c r="C25" s="1">
        <v>5</v>
      </c>
      <c r="D25" s="1">
        <v>10</v>
      </c>
      <c r="E25" s="1">
        <v>30</v>
      </c>
      <c r="J25" s="9"/>
    </row>
    <row r="26" spans="1:20" x14ac:dyDescent="0.2">
      <c r="A26" s="5"/>
      <c r="B26" s="1" t="s">
        <v>4123</v>
      </c>
      <c r="C26" s="1">
        <v>0</v>
      </c>
      <c r="D26" s="1">
        <v>0</v>
      </c>
      <c r="E26" s="1">
        <v>30</v>
      </c>
      <c r="J26" s="9"/>
    </row>
    <row r="27" spans="1:20" ht="16" thickBot="1" x14ac:dyDescent="0.25">
      <c r="A27" s="10"/>
      <c r="B27" s="11"/>
      <c r="C27" s="11"/>
      <c r="D27" s="11"/>
      <c r="E27" s="11"/>
      <c r="F27" s="11"/>
      <c r="G27" s="11"/>
      <c r="H27" s="11"/>
      <c r="I27" s="11"/>
      <c r="J27" s="1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O201"/>
  <sheetViews>
    <sheetView zoomScale="116" workbookViewId="0">
      <selection activeCell="J2" sqref="J2:J23"/>
    </sheetView>
  </sheetViews>
  <sheetFormatPr baseColWidth="10" defaultColWidth="8.83203125" defaultRowHeight="13" x14ac:dyDescent="0.15"/>
  <cols>
    <col min="1" max="1" width="7.5" customWidth="1"/>
    <col min="2" max="2" width="17.1640625" bestFit="1" customWidth="1"/>
    <col min="3" max="3" width="11" bestFit="1" customWidth="1"/>
    <col min="4" max="4" width="13.33203125" bestFit="1" customWidth="1"/>
    <col min="5" max="5" width="19.5" bestFit="1" customWidth="1"/>
    <col min="6" max="6" width="16.33203125" bestFit="1" customWidth="1"/>
    <col min="7" max="7" width="19.6640625" bestFit="1" customWidth="1"/>
    <col min="8" max="8" width="5.1640625" bestFit="1" customWidth="1"/>
    <col min="9" max="9" width="10.83203125" customWidth="1"/>
    <col min="10" max="10" width="119.6640625" bestFit="1" customWidth="1"/>
    <col min="11" max="11" width="14.1640625" bestFit="1" customWidth="1"/>
    <col min="12" max="12" width="7.33203125" customWidth="1"/>
    <col min="13" max="13" width="14.83203125" bestFit="1" customWidth="1"/>
    <col min="17" max="17" width="15" bestFit="1" customWidth="1"/>
    <col min="21" max="21" width="14.33203125" bestFit="1" customWidth="1"/>
    <col min="25" max="25" width="15" bestFit="1" customWidth="1"/>
  </cols>
  <sheetData>
    <row r="1" spans="1:15" ht="14" x14ac:dyDescent="0.15">
      <c r="A1" s="20" t="s">
        <v>4134</v>
      </c>
      <c r="B1" s="20" t="s">
        <v>4248</v>
      </c>
      <c r="C1" s="19" t="s">
        <v>4135</v>
      </c>
      <c r="D1" s="20" t="s">
        <v>4136</v>
      </c>
      <c r="E1" s="20" t="s">
        <v>4140</v>
      </c>
      <c r="F1" s="20" t="s">
        <v>4137</v>
      </c>
      <c r="G1" s="22" t="s">
        <v>4219</v>
      </c>
      <c r="H1" s="20" t="s">
        <v>4338</v>
      </c>
      <c r="I1" s="20" t="s">
        <v>4342</v>
      </c>
    </row>
    <row r="2" spans="1:15" x14ac:dyDescent="0.15">
      <c r="A2" s="14" t="s">
        <v>4132</v>
      </c>
      <c r="B2" t="s">
        <v>4249</v>
      </c>
      <c r="C2">
        <v>20229553</v>
      </c>
      <c r="D2">
        <v>38312</v>
      </c>
      <c r="E2" t="s">
        <v>4250</v>
      </c>
      <c r="F2" s="32">
        <v>6944771223</v>
      </c>
      <c r="G2" t="s">
        <v>4224</v>
      </c>
      <c r="I2" s="37" t="s">
        <v>4343</v>
      </c>
      <c r="J2" t="str" cm="1">
        <f t="array" ref="J2">insertinto(A2:I2,$K$2:$L$10,"pr_Students")</f>
        <v>insert into pr_Students values ('M', 'Jay Burrell', '20229553', '21-Nov-2004', 'Oneil Orfeo, 23', '6944771223', 'Kosovo', null, 'ACTIVE');</v>
      </c>
      <c r="K2" s="14" t="s">
        <v>4134</v>
      </c>
      <c r="L2" s="14" t="s">
        <v>4231</v>
      </c>
      <c r="N2" s="14" t="s">
        <v>4132</v>
      </c>
      <c r="O2" s="14" t="s">
        <v>4220</v>
      </c>
    </row>
    <row r="3" spans="1:15" x14ac:dyDescent="0.15">
      <c r="A3" s="14" t="s">
        <v>4133</v>
      </c>
      <c r="B3" t="s">
        <v>4251</v>
      </c>
      <c r="C3">
        <v>20221414</v>
      </c>
      <c r="D3">
        <v>37734</v>
      </c>
      <c r="E3" t="s">
        <v>4252</v>
      </c>
      <c r="F3" s="32">
        <v>6948362086</v>
      </c>
      <c r="G3" t="s">
        <v>4221</v>
      </c>
      <c r="I3" s="37" t="s">
        <v>4343</v>
      </c>
      <c r="J3" t="str" cm="1">
        <f t="array" ref="J3">insertinto(A3:I3,$K$2:$L$10,"pr_Students")</f>
        <v>insert into pr_Students values ('F', 'Nicol Taylor', '20221414', '23-Apr-2003', 'Richey Hai, 66', '6948362086', 'Albania', null, 'ACTIVE');</v>
      </c>
      <c r="K3" s="14" t="s">
        <v>4248</v>
      </c>
      <c r="L3" s="14" t="s">
        <v>4231</v>
      </c>
      <c r="N3" s="14" t="s">
        <v>4133</v>
      </c>
      <c r="O3" s="14" t="s">
        <v>4221</v>
      </c>
    </row>
    <row r="4" spans="1:15" x14ac:dyDescent="0.15">
      <c r="A4" s="14" t="s">
        <v>4132</v>
      </c>
      <c r="B4" t="s">
        <v>4253</v>
      </c>
      <c r="C4">
        <v>20224306</v>
      </c>
      <c r="D4">
        <v>38096</v>
      </c>
      <c r="E4" t="s">
        <v>4254</v>
      </c>
      <c r="F4" s="32">
        <v>6979758113</v>
      </c>
      <c r="G4" t="s">
        <v>4227</v>
      </c>
      <c r="I4" s="37" t="s">
        <v>4343</v>
      </c>
      <c r="J4" t="str" cm="1">
        <f t="array" ref="J4">insertinto(A4:I4,$K$2:$L$10,"pr_Students")</f>
        <v>insert into pr_Students values ('M', 'Toby Perry', '20224306', '19-Apr-2004', 'Milton Malcom, 44', '6979758113', 'Armenia', null, 'ACTIVE');</v>
      </c>
      <c r="K4" s="14" t="s">
        <v>4135</v>
      </c>
      <c r="L4" s="14" t="s">
        <v>4231</v>
      </c>
      <c r="O4" s="14" t="s">
        <v>4222</v>
      </c>
    </row>
    <row r="5" spans="1:15" x14ac:dyDescent="0.15">
      <c r="A5" s="14" t="s">
        <v>4133</v>
      </c>
      <c r="B5" t="s">
        <v>4255</v>
      </c>
      <c r="C5">
        <v>20220731</v>
      </c>
      <c r="D5">
        <v>37836</v>
      </c>
      <c r="E5" t="s">
        <v>4256</v>
      </c>
      <c r="F5" s="32">
        <v>6955840688</v>
      </c>
      <c r="G5" t="s">
        <v>4224</v>
      </c>
      <c r="I5" s="37" t="s">
        <v>4343</v>
      </c>
      <c r="J5" t="str" cm="1">
        <f t="array" ref="J5">insertinto(A5:I5,$K$2:$L$10,"pr_Students")</f>
        <v>insert into pr_Students values ('F', 'Lauryn Ly', '20220731', '03-Aug-2003', 'Herzog Ricardo, 95', '6955840688', 'Kosovo', null, 'ACTIVE');</v>
      </c>
      <c r="K5" s="14" t="s">
        <v>4136</v>
      </c>
      <c r="L5" s="14" t="s">
        <v>4201</v>
      </c>
      <c r="O5" s="14" t="s">
        <v>4223</v>
      </c>
    </row>
    <row r="6" spans="1:15" x14ac:dyDescent="0.15">
      <c r="A6" s="14" t="s">
        <v>4133</v>
      </c>
      <c r="B6" t="s">
        <v>4257</v>
      </c>
      <c r="C6">
        <v>20227092</v>
      </c>
      <c r="D6">
        <v>37942</v>
      </c>
      <c r="E6" t="s">
        <v>4258</v>
      </c>
      <c r="F6" s="32">
        <v>6967957761</v>
      </c>
      <c r="G6" t="s">
        <v>4227</v>
      </c>
      <c r="I6" s="37" t="s">
        <v>4343</v>
      </c>
      <c r="J6" t="str" cm="1">
        <f t="array" ref="J6">insertinto(A6:I6,$K$2:$L$10,"pr_Students")</f>
        <v>insert into pr_Students values ('F', 'Avis Rosenkrantz', '20227092', '17-Nov-2003', 'Salinas Scottie, 43', '6967957761', 'Armenia', null, 'ACTIVE');</v>
      </c>
      <c r="K6" s="14" t="s">
        <v>4140</v>
      </c>
      <c r="L6" s="14" t="s">
        <v>4231</v>
      </c>
      <c r="O6" s="14" t="s">
        <v>4224</v>
      </c>
    </row>
    <row r="7" spans="1:15" x14ac:dyDescent="0.15">
      <c r="A7" s="14" t="s">
        <v>4133</v>
      </c>
      <c r="B7" t="s">
        <v>4259</v>
      </c>
      <c r="C7">
        <v>20226184</v>
      </c>
      <c r="D7">
        <v>38086</v>
      </c>
      <c r="E7" t="s">
        <v>4260</v>
      </c>
      <c r="F7" s="32">
        <v>6964741528</v>
      </c>
      <c r="G7" t="s">
        <v>4220</v>
      </c>
      <c r="I7" s="37" t="s">
        <v>4344</v>
      </c>
      <c r="J7" t="str" cm="1">
        <f t="array" ref="J7">insertinto(A7:I7,$K$2:$L$10,"pr_Students")</f>
        <v>insert into pr_Students values ('F', 'Consuela Givens', '20226184', '09-Apr-2004', 'Pinto Jospeh, 19', '6964741528', 'Greece', null, 'INACTIVE');</v>
      </c>
      <c r="K7" s="14" t="s">
        <v>4137</v>
      </c>
      <c r="L7" s="14" t="s">
        <v>4231</v>
      </c>
      <c r="O7" s="14" t="s">
        <v>4225</v>
      </c>
    </row>
    <row r="8" spans="1:15" x14ac:dyDescent="0.15">
      <c r="A8" s="14" t="s">
        <v>4132</v>
      </c>
      <c r="B8" t="s">
        <v>4261</v>
      </c>
      <c r="C8">
        <v>20229558</v>
      </c>
      <c r="D8">
        <v>37900</v>
      </c>
      <c r="E8" t="s">
        <v>4262</v>
      </c>
      <c r="F8" s="32">
        <v>6974287255</v>
      </c>
      <c r="G8" t="s">
        <v>4226</v>
      </c>
      <c r="I8" s="37" t="s">
        <v>4343</v>
      </c>
      <c r="J8" t="str" cm="1">
        <f t="array" ref="J8">insertinto(A8:I8,$K$2:$L$10,"pr_Students")</f>
        <v>insert into pr_Students values ('M', 'Claude Gregg', '20229558', '06-Oct-2003', 'Roland Marlin, 31', '6974287255', 'U.S.A.', null, 'ACTIVE');</v>
      </c>
      <c r="K8" s="14" t="s">
        <v>4219</v>
      </c>
      <c r="L8" s="14" t="s">
        <v>4231</v>
      </c>
      <c r="O8" s="14" t="s">
        <v>4226</v>
      </c>
    </row>
    <row r="9" spans="1:15" x14ac:dyDescent="0.15">
      <c r="A9" s="14" t="s">
        <v>4132</v>
      </c>
      <c r="B9" t="s">
        <v>4263</v>
      </c>
      <c r="C9">
        <v>20228839</v>
      </c>
      <c r="D9">
        <v>37996</v>
      </c>
      <c r="E9" t="s">
        <v>4264</v>
      </c>
      <c r="F9" s="32">
        <v>6961879106</v>
      </c>
      <c r="G9" t="s">
        <v>4221</v>
      </c>
      <c r="I9" s="37" t="s">
        <v>4343</v>
      </c>
      <c r="J9" t="str" cm="1">
        <f t="array" ref="J9">insertinto(A9:I9,$K$2:$L$10,"pr_Students")</f>
        <v>insert into pr_Students values ('M', 'Artie Sheldon', '20228839', '10-Jan-2004', 'Combs Edvard, 88', '6961879106', 'Albania', null, 'ACTIVE');</v>
      </c>
      <c r="K9" s="14" t="s">
        <v>4338</v>
      </c>
      <c r="L9" s="14" t="s">
        <v>4232</v>
      </c>
      <c r="O9" s="14" t="s">
        <v>4227</v>
      </c>
    </row>
    <row r="10" spans="1:15" x14ac:dyDescent="0.15">
      <c r="A10" s="14" t="s">
        <v>4132</v>
      </c>
      <c r="B10" t="s">
        <v>4265</v>
      </c>
      <c r="C10">
        <v>20227541</v>
      </c>
      <c r="D10">
        <v>38275</v>
      </c>
      <c r="E10" t="s">
        <v>4266</v>
      </c>
      <c r="F10" s="32">
        <v>6947383096</v>
      </c>
      <c r="G10" t="s">
        <v>4220</v>
      </c>
      <c r="I10" s="37" t="s">
        <v>4344</v>
      </c>
      <c r="J10" t="str" cm="1">
        <f t="array" ref="J10">insertinto(A10:I10,$K$2:$L$10,"pr_Students")</f>
        <v>insert into pr_Students values ('M', 'Chip Barry', '20227541', '15-Oct-2004', 'Duffy Louis, 18', '6947383096', 'Greece', null, 'INACTIVE');</v>
      </c>
      <c r="K10" s="14" t="s">
        <v>4342</v>
      </c>
      <c r="L10" s="14" t="s">
        <v>4231</v>
      </c>
      <c r="O10" s="14" t="s">
        <v>4228</v>
      </c>
    </row>
    <row r="11" spans="1:15" x14ac:dyDescent="0.15">
      <c r="A11" s="14" t="s">
        <v>4132</v>
      </c>
      <c r="B11" t="s">
        <v>4267</v>
      </c>
      <c r="C11">
        <v>20227466</v>
      </c>
      <c r="D11">
        <v>38085</v>
      </c>
      <c r="E11" t="s">
        <v>4268</v>
      </c>
      <c r="F11" s="32">
        <v>6948087961</v>
      </c>
      <c r="G11" t="s">
        <v>4223</v>
      </c>
      <c r="I11" s="37" t="s">
        <v>4343</v>
      </c>
      <c r="J11" t="str" cm="1">
        <f t="array" ref="J11">insertinto(A11:I11,$K$2:$L$10,"pr_Students")</f>
        <v>insert into pr_Students values ('M', 'Willian Rose', '20227466', '08-Apr-2004', 'Fraser Hugo, 31', '6948087961', 'North Macedonia ', null, 'ACTIVE');</v>
      </c>
      <c r="O11" s="14" t="s">
        <v>4229</v>
      </c>
    </row>
    <row r="12" spans="1:15" x14ac:dyDescent="0.15">
      <c r="A12" s="14" t="s">
        <v>4132</v>
      </c>
      <c r="B12" t="s">
        <v>4269</v>
      </c>
      <c r="C12">
        <v>20226221</v>
      </c>
      <c r="D12">
        <v>38019</v>
      </c>
      <c r="E12" t="s">
        <v>4270</v>
      </c>
      <c r="F12" s="32">
        <v>6950004005</v>
      </c>
      <c r="G12" t="s">
        <v>4224</v>
      </c>
      <c r="I12" s="37" t="s">
        <v>4343</v>
      </c>
      <c r="J12" t="str" cm="1">
        <f t="array" ref="J12">insertinto(A12:I12,$K$2:$L$10,"pr_Students")</f>
        <v>insert into pr_Students values ('M', 'Pedro Summers', '20226221', '02-Feb-2004', 'Cain Quinn, 10', '6950004005', 'Kosovo', null, 'ACTIVE');</v>
      </c>
      <c r="O12" s="14" t="s">
        <v>4230</v>
      </c>
    </row>
    <row r="13" spans="1:15" x14ac:dyDescent="0.15">
      <c r="A13" s="14" t="s">
        <v>4133</v>
      </c>
      <c r="B13" t="s">
        <v>4271</v>
      </c>
      <c r="C13">
        <v>20224946</v>
      </c>
      <c r="D13">
        <v>38166</v>
      </c>
      <c r="E13" t="s">
        <v>4272</v>
      </c>
      <c r="F13" s="32">
        <v>6957896092</v>
      </c>
      <c r="G13" t="s">
        <v>4220</v>
      </c>
      <c r="I13" s="37" t="s">
        <v>4343</v>
      </c>
      <c r="J13" t="str" cm="1">
        <f t="array" ref="J13">insertinto(A13:I13,$K$2:$L$10,"pr_Students")</f>
        <v>insert into pr_Students values ('F', 'Halle Clifton', '20224946', '28-Jun-2004', 'Landis Kelly, 30', '6957896092', 'Greece', null, 'ACTIVE');</v>
      </c>
    </row>
    <row r="14" spans="1:15" x14ac:dyDescent="0.15">
      <c r="A14" s="14" t="s">
        <v>4133</v>
      </c>
      <c r="B14" t="s">
        <v>4273</v>
      </c>
      <c r="C14">
        <v>20227782</v>
      </c>
      <c r="D14">
        <v>38101</v>
      </c>
      <c r="E14" t="s">
        <v>4274</v>
      </c>
      <c r="F14" s="32">
        <v>6972291162</v>
      </c>
      <c r="G14" t="s">
        <v>4225</v>
      </c>
      <c r="I14" s="37" t="s">
        <v>4343</v>
      </c>
      <c r="J14" t="str" cm="1">
        <f t="array" ref="J14">insertinto(A14:I14,$K$2:$L$10,"pr_Students")</f>
        <v>insert into pr_Students values ('F', 'Glenna Medina', '20227782', '24-Apr-2004', 'Serna Ignacio, 46', '6972291162', 'Serbia', null, 'ACTIVE');</v>
      </c>
    </row>
    <row r="15" spans="1:15" x14ac:dyDescent="0.15">
      <c r="A15" s="14" t="s">
        <v>4133</v>
      </c>
      <c r="B15" t="s">
        <v>4275</v>
      </c>
      <c r="C15">
        <v>20227177</v>
      </c>
      <c r="D15">
        <v>38078</v>
      </c>
      <c r="E15" t="s">
        <v>4276</v>
      </c>
      <c r="F15" s="32">
        <v>6942225146</v>
      </c>
      <c r="G15" t="s">
        <v>4220</v>
      </c>
      <c r="I15" s="37" t="s">
        <v>4343</v>
      </c>
      <c r="J15" t="str" cm="1">
        <f t="array" ref="J15">insertinto(A15:I15,$K$2:$L$10,"pr_Students")</f>
        <v>insert into pr_Students values ('F', 'Alyson Hardy', '20227177', '01-Apr-2004', 'Carlton Brad, 24', '6942225146', 'Greece', null, 'ACTIVE');</v>
      </c>
    </row>
    <row r="16" spans="1:15" x14ac:dyDescent="0.15">
      <c r="A16" s="14" t="s">
        <v>4132</v>
      </c>
      <c r="B16" t="s">
        <v>4277</v>
      </c>
      <c r="C16">
        <v>20221564</v>
      </c>
      <c r="D16">
        <v>37837</v>
      </c>
      <c r="E16" t="s">
        <v>4278</v>
      </c>
      <c r="F16" s="32">
        <v>6964684746</v>
      </c>
      <c r="G16" t="s">
        <v>4226</v>
      </c>
      <c r="I16" s="37" t="s">
        <v>4343</v>
      </c>
      <c r="J16" t="str" cm="1">
        <f t="array" ref="J16">insertinto(A16:I16,$K$2:$L$10,"pr_Students")</f>
        <v>insert into pr_Students values ('M', 'Nicky Galis', '20221564', '04-Aug-2003', 'Pike Dave, 90', '6964684746', 'U.S.A.', null, 'ACTIVE');</v>
      </c>
    </row>
    <row r="17" spans="1:10" x14ac:dyDescent="0.15">
      <c r="A17" s="14" t="s">
        <v>4132</v>
      </c>
      <c r="B17" t="s">
        <v>4279</v>
      </c>
      <c r="C17">
        <v>20224484</v>
      </c>
      <c r="D17">
        <v>38157</v>
      </c>
      <c r="E17" t="s">
        <v>4280</v>
      </c>
      <c r="F17" s="32">
        <v>6944158761</v>
      </c>
      <c r="G17" t="s">
        <v>4224</v>
      </c>
      <c r="I17" s="37" t="s">
        <v>4343</v>
      </c>
      <c r="J17" t="str" cm="1">
        <f t="array" ref="J17">insertinto(A17:I17,$K$2:$L$10,"pr_Students")</f>
        <v>insert into pr_Students values ('M', 'Ector Ericson', '20224484', '19-Jun-2004', 'Travis Galen, 86', '6944158761', 'Kosovo', null, 'ACTIVE');</v>
      </c>
    </row>
    <row r="18" spans="1:10" x14ac:dyDescent="0.15">
      <c r="A18" s="14" t="s">
        <v>4132</v>
      </c>
      <c r="B18" t="s">
        <v>4281</v>
      </c>
      <c r="C18">
        <v>20226724</v>
      </c>
      <c r="D18">
        <v>37942</v>
      </c>
      <c r="E18" t="s">
        <v>4282</v>
      </c>
      <c r="F18" s="32">
        <v>6977347103</v>
      </c>
      <c r="G18" t="s">
        <v>4227</v>
      </c>
      <c r="I18" s="37" t="s">
        <v>4343</v>
      </c>
      <c r="J18" t="str" cm="1">
        <f t="array" ref="J18">insertinto(A18:I18,$K$2:$L$10,"pr_Students")</f>
        <v>insert into pr_Students values ('M', 'Elmer Shirley', '20226724', '17-Nov-2003', 'Moody Millard, 2', '6977347103', 'Armenia', null, 'ACTIVE');</v>
      </c>
    </row>
    <row r="19" spans="1:10" x14ac:dyDescent="0.15">
      <c r="A19" s="14" t="s">
        <v>4132</v>
      </c>
      <c r="B19" t="s">
        <v>4283</v>
      </c>
      <c r="C19">
        <v>20225519</v>
      </c>
      <c r="D19">
        <v>37744</v>
      </c>
      <c r="E19" t="s">
        <v>4284</v>
      </c>
      <c r="F19" s="32">
        <v>6979700585</v>
      </c>
      <c r="G19" t="s">
        <v>4227</v>
      </c>
      <c r="I19" s="37" t="s">
        <v>4343</v>
      </c>
      <c r="J19" t="str" cm="1">
        <f t="array" ref="J19">insertinto(A19:I19,$K$2:$L$10,"pr_Students")</f>
        <v>insert into pr_Students values ('M', 'Michal Cortes', '20225519', '03-May-2003', 'Stover Sang, 9', '6979700585', 'Armenia', null, 'ACTIVE');</v>
      </c>
    </row>
    <row r="20" spans="1:10" x14ac:dyDescent="0.15">
      <c r="A20" s="14" t="s">
        <v>4133</v>
      </c>
      <c r="B20" t="s">
        <v>4285</v>
      </c>
      <c r="C20">
        <v>20227388</v>
      </c>
      <c r="D20">
        <v>37984</v>
      </c>
      <c r="E20" t="s">
        <v>4286</v>
      </c>
      <c r="F20" s="32">
        <v>6967879980</v>
      </c>
      <c r="G20" t="s">
        <v>4223</v>
      </c>
      <c r="I20" s="37" t="s">
        <v>4343</v>
      </c>
      <c r="J20" t="str" cm="1">
        <f t="array" ref="J20">insertinto(A20:I20,$K$2:$L$10,"pr_Students")</f>
        <v>insert into pr_Students values ('F', 'Angela Haywood', '20227388', '29-Dec-2003', 'Stabler Ray, 22', '6967879980', 'North Macedonia ', null, 'ACTIVE');</v>
      </c>
    </row>
    <row r="21" spans="1:10" x14ac:dyDescent="0.15">
      <c r="A21" s="14" t="s">
        <v>4132</v>
      </c>
      <c r="B21" t="s">
        <v>4287</v>
      </c>
      <c r="C21">
        <v>20223671</v>
      </c>
      <c r="D21">
        <v>38163</v>
      </c>
      <c r="E21" t="s">
        <v>4288</v>
      </c>
      <c r="F21" s="32">
        <v>6950982384</v>
      </c>
      <c r="G21" t="s">
        <v>4230</v>
      </c>
      <c r="I21" s="37" t="s">
        <v>4343</v>
      </c>
      <c r="J21" t="str" cm="1">
        <f t="array" ref="J21">insertinto(A21:I21,$K$2:$L$10,"pr_Students")</f>
        <v>insert into pr_Students values ('M', 'Sonny Richmond', '20223671', '25-Jun-2004', 'Oneal Shane, 37', '6950982384', 'Romania', null, 'ACTIVE');</v>
      </c>
    </row>
    <row r="22" spans="1:10" x14ac:dyDescent="0.15">
      <c r="A22" s="14" t="s">
        <v>4133</v>
      </c>
      <c r="B22" s="14" t="s">
        <v>4339</v>
      </c>
      <c r="C22">
        <v>20203234</v>
      </c>
      <c r="D22">
        <v>38078</v>
      </c>
      <c r="E22" s="14" t="s">
        <v>4340</v>
      </c>
      <c r="F22" s="32">
        <v>6980237610</v>
      </c>
      <c r="G22" s="14" t="s">
        <v>4220</v>
      </c>
      <c r="I22" s="37" t="s">
        <v>4343</v>
      </c>
      <c r="J22" t="str" cm="1">
        <f t="array" ref="J22">insertinto(A22:I22,$K$2:$L$10,"pr_Students")</f>
        <v>insert into pr_Students values ('F', 'Sonnia Dimitriadou', '20203234', '01-Apr-2004', 'Samara Lewis, 58', '6980237610', 'Greece', null, 'ACTIVE');</v>
      </c>
    </row>
    <row r="23" spans="1:10" x14ac:dyDescent="0.15">
      <c r="A23" s="14" t="s">
        <v>4132</v>
      </c>
      <c r="B23" s="14" t="s">
        <v>4345</v>
      </c>
      <c r="C23">
        <v>20213298</v>
      </c>
      <c r="D23">
        <v>38157</v>
      </c>
      <c r="E23" s="14" t="s">
        <v>4346</v>
      </c>
      <c r="F23" s="32">
        <v>6970442386</v>
      </c>
      <c r="G23" s="14" t="s">
        <v>4220</v>
      </c>
      <c r="I23" s="37" t="s">
        <v>4344</v>
      </c>
      <c r="J23" t="str" cm="1">
        <f t="array" ref="J23">insertinto(A23:I23,$K$2:$L$10,"pr_Students")</f>
        <v>insert into pr_Students values ('M', 'Ioannis Papadopoulos', '20213298', '19-Jun-2004', 'Dimitriou Stamatiou, 74', '6970442386', 'Greece', null, 'INACTIVE');</v>
      </c>
    </row>
    <row r="24" spans="1:10" x14ac:dyDescent="0.15">
      <c r="A24" s="14"/>
    </row>
    <row r="25" spans="1:10" x14ac:dyDescent="0.15">
      <c r="A25" s="14"/>
    </row>
    <row r="26" spans="1:10" x14ac:dyDescent="0.15">
      <c r="A26" s="14"/>
    </row>
    <row r="27" spans="1:10" x14ac:dyDescent="0.15">
      <c r="A27" s="14"/>
    </row>
    <row r="28" spans="1:10" x14ac:dyDescent="0.15">
      <c r="A28" s="14"/>
    </row>
    <row r="49" spans="1:1" x14ac:dyDescent="0.15">
      <c r="A49" s="14"/>
    </row>
    <row r="50" spans="1:1" x14ac:dyDescent="0.15">
      <c r="A50" s="14"/>
    </row>
    <row r="51" spans="1:1" x14ac:dyDescent="0.15">
      <c r="A51" s="14"/>
    </row>
    <row r="52" spans="1:1" x14ac:dyDescent="0.15">
      <c r="A52" s="14"/>
    </row>
    <row r="53" spans="1:1" x14ac:dyDescent="0.15">
      <c r="A53" s="14"/>
    </row>
    <row r="54" spans="1:1" x14ac:dyDescent="0.15">
      <c r="A54" s="14"/>
    </row>
    <row r="55" spans="1:1" x14ac:dyDescent="0.15">
      <c r="A55" s="14"/>
    </row>
    <row r="56" spans="1:1" x14ac:dyDescent="0.15">
      <c r="A56" s="14"/>
    </row>
    <row r="57" spans="1:1" x14ac:dyDescent="0.15">
      <c r="A57" s="14"/>
    </row>
    <row r="58" spans="1:1" x14ac:dyDescent="0.15">
      <c r="A58" s="14"/>
    </row>
    <row r="59" spans="1:1" x14ac:dyDescent="0.15">
      <c r="A59" s="14"/>
    </row>
    <row r="60" spans="1:1" x14ac:dyDescent="0.15">
      <c r="A60" s="14"/>
    </row>
    <row r="61" spans="1:1" x14ac:dyDescent="0.15">
      <c r="A61" s="14"/>
    </row>
    <row r="62" spans="1:1" x14ac:dyDescent="0.15">
      <c r="A62" s="14"/>
    </row>
    <row r="63" spans="1:1" x14ac:dyDescent="0.15">
      <c r="A63" s="14"/>
    </row>
    <row r="64" spans="1:1" x14ac:dyDescent="0.15">
      <c r="A64" s="14"/>
    </row>
    <row r="65" spans="1:1" x14ac:dyDescent="0.15">
      <c r="A65" s="14"/>
    </row>
    <row r="66" spans="1:1" x14ac:dyDescent="0.15">
      <c r="A66" s="14"/>
    </row>
    <row r="67" spans="1:1" x14ac:dyDescent="0.15">
      <c r="A67" s="14"/>
    </row>
    <row r="68" spans="1:1" x14ac:dyDescent="0.15">
      <c r="A68" s="14"/>
    </row>
    <row r="69" spans="1:1" x14ac:dyDescent="0.15">
      <c r="A69" s="14"/>
    </row>
    <row r="70" spans="1:1" x14ac:dyDescent="0.15">
      <c r="A70" s="14"/>
    </row>
    <row r="71" spans="1:1" x14ac:dyDescent="0.15">
      <c r="A71" s="14"/>
    </row>
    <row r="72" spans="1:1" x14ac:dyDescent="0.15">
      <c r="A72" s="14"/>
    </row>
    <row r="73" spans="1:1" x14ac:dyDescent="0.15">
      <c r="A73" s="14"/>
    </row>
    <row r="74" spans="1:1" x14ac:dyDescent="0.15">
      <c r="A74" s="14"/>
    </row>
    <row r="75" spans="1:1" x14ac:dyDescent="0.15">
      <c r="A75" s="14"/>
    </row>
    <row r="76" spans="1:1" x14ac:dyDescent="0.15">
      <c r="A76" s="14"/>
    </row>
    <row r="77" spans="1:1" x14ac:dyDescent="0.15">
      <c r="A77" s="14"/>
    </row>
    <row r="78" spans="1:1" x14ac:dyDescent="0.15">
      <c r="A78" s="14"/>
    </row>
    <row r="79" spans="1:1" x14ac:dyDescent="0.15">
      <c r="A79" s="14"/>
    </row>
    <row r="80" spans="1:1" x14ac:dyDescent="0.15">
      <c r="A80" s="14"/>
    </row>
    <row r="81" spans="1:1" x14ac:dyDescent="0.15">
      <c r="A81" s="14"/>
    </row>
    <row r="82" spans="1:1" x14ac:dyDescent="0.15">
      <c r="A82" s="14"/>
    </row>
    <row r="83" spans="1:1" x14ac:dyDescent="0.15">
      <c r="A83" s="14"/>
    </row>
    <row r="84" spans="1:1" x14ac:dyDescent="0.15">
      <c r="A84" s="14"/>
    </row>
    <row r="85" spans="1:1" x14ac:dyDescent="0.15">
      <c r="A85" s="14"/>
    </row>
    <row r="86" spans="1:1" x14ac:dyDescent="0.15">
      <c r="A86" s="14"/>
    </row>
    <row r="87" spans="1:1" x14ac:dyDescent="0.15">
      <c r="A87" s="14"/>
    </row>
    <row r="88" spans="1:1" x14ac:dyDescent="0.15">
      <c r="A88" s="14"/>
    </row>
    <row r="89" spans="1:1" x14ac:dyDescent="0.15">
      <c r="A89" s="14"/>
    </row>
    <row r="90" spans="1:1" x14ac:dyDescent="0.15">
      <c r="A90" s="14"/>
    </row>
    <row r="91" spans="1:1" x14ac:dyDescent="0.15">
      <c r="A91" s="14"/>
    </row>
    <row r="92" spans="1:1" x14ac:dyDescent="0.15">
      <c r="A92" s="14"/>
    </row>
    <row r="93" spans="1:1" x14ac:dyDescent="0.15">
      <c r="A93" s="14"/>
    </row>
    <row r="94" spans="1:1" x14ac:dyDescent="0.15">
      <c r="A94" s="14"/>
    </row>
    <row r="95" spans="1:1" x14ac:dyDescent="0.15">
      <c r="A95" s="14"/>
    </row>
    <row r="96" spans="1:1" x14ac:dyDescent="0.15">
      <c r="A96" s="14"/>
    </row>
    <row r="97" spans="1:1" x14ac:dyDescent="0.15">
      <c r="A97" s="14"/>
    </row>
    <row r="98" spans="1:1" x14ac:dyDescent="0.15">
      <c r="A98" s="14"/>
    </row>
    <row r="99" spans="1:1" x14ac:dyDescent="0.15">
      <c r="A99" s="14"/>
    </row>
    <row r="100" spans="1:1" x14ac:dyDescent="0.15">
      <c r="A100" s="14"/>
    </row>
    <row r="101" spans="1:1" x14ac:dyDescent="0.15">
      <c r="A101" s="14"/>
    </row>
    <row r="102" spans="1:1" x14ac:dyDescent="0.15">
      <c r="A102" s="14"/>
    </row>
    <row r="103" spans="1:1" x14ac:dyDescent="0.15">
      <c r="A103" s="14"/>
    </row>
    <row r="104" spans="1:1" x14ac:dyDescent="0.15">
      <c r="A104" s="14"/>
    </row>
    <row r="105" spans="1:1" x14ac:dyDescent="0.15">
      <c r="A105" s="14"/>
    </row>
    <row r="106" spans="1:1" x14ac:dyDescent="0.15">
      <c r="A106" s="14"/>
    </row>
    <row r="107" spans="1:1" x14ac:dyDescent="0.15">
      <c r="A107" s="14"/>
    </row>
    <row r="108" spans="1:1" x14ac:dyDescent="0.15">
      <c r="A108" s="14"/>
    </row>
    <row r="109" spans="1:1" x14ac:dyDescent="0.15">
      <c r="A109" s="14"/>
    </row>
    <row r="110" spans="1:1" x14ac:dyDescent="0.15">
      <c r="A110" s="14"/>
    </row>
    <row r="111" spans="1:1" x14ac:dyDescent="0.15">
      <c r="A111" s="14"/>
    </row>
    <row r="112" spans="1:1" x14ac:dyDescent="0.15">
      <c r="A112" s="14"/>
    </row>
    <row r="113" spans="1:1" x14ac:dyDescent="0.15">
      <c r="A113" s="14"/>
    </row>
    <row r="114" spans="1:1" x14ac:dyDescent="0.15">
      <c r="A114" s="14"/>
    </row>
    <row r="115" spans="1:1" x14ac:dyDescent="0.15">
      <c r="A115" s="14"/>
    </row>
    <row r="116" spans="1:1" x14ac:dyDescent="0.15">
      <c r="A116" s="14"/>
    </row>
    <row r="117" spans="1:1" x14ac:dyDescent="0.15">
      <c r="A117" s="14"/>
    </row>
    <row r="118" spans="1:1" x14ac:dyDescent="0.15">
      <c r="A118" s="14"/>
    </row>
    <row r="119" spans="1:1" x14ac:dyDescent="0.15">
      <c r="A119" s="14"/>
    </row>
    <row r="120" spans="1:1" x14ac:dyDescent="0.15">
      <c r="A120" s="14"/>
    </row>
    <row r="121" spans="1:1" x14ac:dyDescent="0.15">
      <c r="A121" s="14"/>
    </row>
    <row r="122" spans="1:1" x14ac:dyDescent="0.15">
      <c r="A122" s="14"/>
    </row>
    <row r="123" spans="1:1" x14ac:dyDescent="0.15">
      <c r="A123" s="14"/>
    </row>
    <row r="124" spans="1:1" x14ac:dyDescent="0.15">
      <c r="A124" s="14"/>
    </row>
    <row r="125" spans="1:1" x14ac:dyDescent="0.15">
      <c r="A125" s="14"/>
    </row>
    <row r="126" spans="1:1" x14ac:dyDescent="0.15">
      <c r="A126" s="14"/>
    </row>
    <row r="127" spans="1:1" x14ac:dyDescent="0.15">
      <c r="A127" s="14"/>
    </row>
    <row r="128" spans="1:1" x14ac:dyDescent="0.15">
      <c r="A128" s="14"/>
    </row>
    <row r="129" spans="1:1" x14ac:dyDescent="0.15">
      <c r="A129" s="14"/>
    </row>
    <row r="130" spans="1:1" x14ac:dyDescent="0.15">
      <c r="A130" s="14"/>
    </row>
    <row r="131" spans="1:1" x14ac:dyDescent="0.15">
      <c r="A131" s="14"/>
    </row>
    <row r="132" spans="1:1" x14ac:dyDescent="0.15">
      <c r="A132" s="14"/>
    </row>
    <row r="133" spans="1:1" x14ac:dyDescent="0.15">
      <c r="A133" s="14"/>
    </row>
    <row r="134" spans="1:1" x14ac:dyDescent="0.15">
      <c r="A134" s="14"/>
    </row>
    <row r="135" spans="1:1" x14ac:dyDescent="0.15">
      <c r="A135" s="14"/>
    </row>
    <row r="136" spans="1:1" x14ac:dyDescent="0.15">
      <c r="A136" s="14"/>
    </row>
    <row r="137" spans="1:1" x14ac:dyDescent="0.15">
      <c r="A137" s="14"/>
    </row>
    <row r="138" spans="1:1" x14ac:dyDescent="0.15">
      <c r="A138" s="14"/>
    </row>
    <row r="139" spans="1:1" x14ac:dyDescent="0.15">
      <c r="A139" s="14"/>
    </row>
    <row r="140" spans="1:1" x14ac:dyDescent="0.15">
      <c r="A140" s="14"/>
    </row>
    <row r="141" spans="1:1" x14ac:dyDescent="0.15">
      <c r="A141" s="14"/>
    </row>
    <row r="142" spans="1:1" x14ac:dyDescent="0.15">
      <c r="A142" s="14"/>
    </row>
    <row r="143" spans="1:1" x14ac:dyDescent="0.15">
      <c r="A143" s="14"/>
    </row>
    <row r="144" spans="1:1" x14ac:dyDescent="0.15">
      <c r="A144" s="14"/>
    </row>
    <row r="145" spans="1:1" x14ac:dyDescent="0.15">
      <c r="A145" s="14"/>
    </row>
    <row r="146" spans="1:1" x14ac:dyDescent="0.15">
      <c r="A146" s="14"/>
    </row>
    <row r="147" spans="1:1" x14ac:dyDescent="0.15">
      <c r="A147" s="14"/>
    </row>
    <row r="148" spans="1:1" x14ac:dyDescent="0.15">
      <c r="A148" s="14"/>
    </row>
    <row r="149" spans="1:1" x14ac:dyDescent="0.15">
      <c r="A149" s="14"/>
    </row>
    <row r="150" spans="1:1" x14ac:dyDescent="0.15">
      <c r="A150" s="14"/>
    </row>
    <row r="151" spans="1:1" x14ac:dyDescent="0.15">
      <c r="A151" s="14"/>
    </row>
    <row r="152" spans="1:1" x14ac:dyDescent="0.15">
      <c r="A152" s="14"/>
    </row>
    <row r="153" spans="1:1" x14ac:dyDescent="0.15">
      <c r="A153" s="14"/>
    </row>
    <row r="154" spans="1:1" x14ac:dyDescent="0.15">
      <c r="A154" s="14"/>
    </row>
    <row r="155" spans="1:1" x14ac:dyDescent="0.15">
      <c r="A155" s="14"/>
    </row>
    <row r="156" spans="1:1" x14ac:dyDescent="0.15">
      <c r="A156" s="14"/>
    </row>
    <row r="157" spans="1:1" x14ac:dyDescent="0.15">
      <c r="A157" s="14"/>
    </row>
    <row r="158" spans="1:1" x14ac:dyDescent="0.15">
      <c r="A158" s="14"/>
    </row>
    <row r="159" spans="1:1" x14ac:dyDescent="0.15">
      <c r="A159" s="14"/>
    </row>
    <row r="160" spans="1:1" x14ac:dyDescent="0.15">
      <c r="A160" s="14"/>
    </row>
    <row r="161" spans="1:1" x14ac:dyDescent="0.15">
      <c r="A161" s="14"/>
    </row>
    <row r="162" spans="1:1" x14ac:dyDescent="0.15">
      <c r="A162" s="14"/>
    </row>
    <row r="163" spans="1:1" x14ac:dyDescent="0.15">
      <c r="A163" s="14"/>
    </row>
    <row r="164" spans="1:1" x14ac:dyDescent="0.15">
      <c r="A164" s="14"/>
    </row>
    <row r="165" spans="1:1" x14ac:dyDescent="0.15">
      <c r="A165" s="14"/>
    </row>
    <row r="166" spans="1:1" x14ac:dyDescent="0.15">
      <c r="A166" s="14"/>
    </row>
    <row r="167" spans="1:1" x14ac:dyDescent="0.15">
      <c r="A167" s="14"/>
    </row>
    <row r="168" spans="1:1" x14ac:dyDescent="0.15">
      <c r="A168" s="14"/>
    </row>
    <row r="169" spans="1:1" x14ac:dyDescent="0.15">
      <c r="A169" s="14"/>
    </row>
    <row r="170" spans="1:1" x14ac:dyDescent="0.15">
      <c r="A170" s="14"/>
    </row>
    <row r="171" spans="1:1" x14ac:dyDescent="0.15">
      <c r="A171" s="14"/>
    </row>
    <row r="172" spans="1:1" x14ac:dyDescent="0.15">
      <c r="A172" s="14"/>
    </row>
    <row r="173" spans="1:1" x14ac:dyDescent="0.15">
      <c r="A173" s="14"/>
    </row>
    <row r="174" spans="1:1" x14ac:dyDescent="0.15">
      <c r="A174" s="14"/>
    </row>
    <row r="175" spans="1:1" x14ac:dyDescent="0.15">
      <c r="A175" s="14"/>
    </row>
    <row r="176" spans="1:1" x14ac:dyDescent="0.15">
      <c r="A176" s="14"/>
    </row>
    <row r="177" spans="1:1" x14ac:dyDescent="0.15">
      <c r="A177" s="14"/>
    </row>
    <row r="178" spans="1:1" x14ac:dyDescent="0.15">
      <c r="A178" s="14"/>
    </row>
    <row r="179" spans="1:1" x14ac:dyDescent="0.15">
      <c r="A179" s="14"/>
    </row>
    <row r="180" spans="1:1" x14ac:dyDescent="0.15">
      <c r="A180" s="14"/>
    </row>
    <row r="181" spans="1:1" x14ac:dyDescent="0.15">
      <c r="A181" s="14"/>
    </row>
    <row r="182" spans="1:1" x14ac:dyDescent="0.15">
      <c r="A182" s="14"/>
    </row>
    <row r="183" spans="1:1" x14ac:dyDescent="0.15">
      <c r="A183" s="14"/>
    </row>
    <row r="184" spans="1:1" x14ac:dyDescent="0.15">
      <c r="A184" s="14"/>
    </row>
    <row r="185" spans="1:1" x14ac:dyDescent="0.15">
      <c r="A185" s="14"/>
    </row>
    <row r="186" spans="1:1" x14ac:dyDescent="0.15">
      <c r="A186" s="14"/>
    </row>
    <row r="187" spans="1:1" x14ac:dyDescent="0.15">
      <c r="A187" s="14"/>
    </row>
    <row r="188" spans="1:1" x14ac:dyDescent="0.15">
      <c r="A188" s="14"/>
    </row>
    <row r="189" spans="1:1" x14ac:dyDescent="0.15">
      <c r="A189" s="14"/>
    </row>
    <row r="190" spans="1:1" x14ac:dyDescent="0.15">
      <c r="A190" s="14"/>
    </row>
    <row r="191" spans="1:1" x14ac:dyDescent="0.15">
      <c r="A191" s="14"/>
    </row>
    <row r="192" spans="1:1" x14ac:dyDescent="0.15">
      <c r="A192" s="14"/>
    </row>
    <row r="193" spans="1:1" x14ac:dyDescent="0.15">
      <c r="A193" s="14"/>
    </row>
    <row r="194" spans="1:1" x14ac:dyDescent="0.15">
      <c r="A194" s="14"/>
    </row>
    <row r="195" spans="1:1" x14ac:dyDescent="0.15">
      <c r="A195" s="14"/>
    </row>
    <row r="196" spans="1:1" x14ac:dyDescent="0.15">
      <c r="A196" s="14"/>
    </row>
    <row r="197" spans="1:1" x14ac:dyDescent="0.15">
      <c r="A197" s="14"/>
    </row>
    <row r="198" spans="1:1" x14ac:dyDescent="0.15">
      <c r="A198" s="14"/>
    </row>
    <row r="199" spans="1:1" x14ac:dyDescent="0.15">
      <c r="A199" s="14"/>
    </row>
    <row r="200" spans="1:1" x14ac:dyDescent="0.15">
      <c r="A200" s="14"/>
    </row>
    <row r="201" spans="1:1" x14ac:dyDescent="0.15">
      <c r="A201" s="14"/>
    </row>
  </sheetData>
  <phoneticPr fontId="28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3093DD-3D08-D441-BD55-63D59B448531}">
  <dimension ref="A1:H28"/>
  <sheetViews>
    <sheetView zoomScale="115" workbookViewId="0">
      <selection activeCell="D9" sqref="D9"/>
    </sheetView>
  </sheetViews>
  <sheetFormatPr baseColWidth="10" defaultRowHeight="13" x14ac:dyDescent="0.15"/>
  <cols>
    <col min="1" max="1" width="22.1640625" bestFit="1" customWidth="1"/>
    <col min="2" max="2" width="47.83203125" bestFit="1" customWidth="1"/>
    <col min="5" max="5" width="11.33203125" bestFit="1" customWidth="1"/>
    <col min="6" max="6" width="103" bestFit="1" customWidth="1"/>
    <col min="7" max="7" width="5.1640625" bestFit="1" customWidth="1"/>
    <col min="8" max="8" width="11.33203125" bestFit="1" customWidth="1"/>
  </cols>
  <sheetData>
    <row r="1" spans="1:8" ht="14" x14ac:dyDescent="0.15">
      <c r="A1" s="19" t="s">
        <v>4174</v>
      </c>
      <c r="B1" s="20" t="s">
        <v>4175</v>
      </c>
      <c r="C1" s="33" t="s">
        <v>4177</v>
      </c>
      <c r="D1" s="20" t="s">
        <v>4176</v>
      </c>
      <c r="E1" s="23" t="s">
        <v>4181</v>
      </c>
    </row>
    <row r="2" spans="1:8" ht="15" x14ac:dyDescent="0.2">
      <c r="A2" s="15" t="s">
        <v>4145</v>
      </c>
      <c r="B2" s="14" t="s">
        <v>4144</v>
      </c>
      <c r="C2" s="32">
        <v>3</v>
      </c>
      <c r="D2" s="14" t="s">
        <v>4170</v>
      </c>
      <c r="E2" t="str">
        <f xml:space="preserve"> VLOOKUP(Professors!A2,Professors!A:G,1,0)</f>
        <v>PROF-1</v>
      </c>
      <c r="F2" t="str" cm="1">
        <f t="array" ref="F2">insertinto(A2:E2,$G$2:$H$6,"pr_Courses")</f>
        <v>insert into pr_Courses values ('ENG 101', 'Composition I ', 3, 'FALL 2022', 'PROF-1');</v>
      </c>
      <c r="G2" s="14" t="s">
        <v>4174</v>
      </c>
      <c r="H2" s="14" t="s">
        <v>4231</v>
      </c>
    </row>
    <row r="3" spans="1:8" ht="15" x14ac:dyDescent="0.2">
      <c r="A3" s="15" t="s">
        <v>4146</v>
      </c>
      <c r="B3" s="14" t="s">
        <v>4143</v>
      </c>
      <c r="C3" s="32">
        <v>3</v>
      </c>
      <c r="D3" s="14" t="s">
        <v>4170</v>
      </c>
      <c r="E3" t="str">
        <f xml:space="preserve"> VLOOKUP(Professors!A3,Professors!A:G,1,0)</f>
        <v>PROF-2</v>
      </c>
      <c r="F3" t="str" cm="1">
        <f t="array" ref="F3">insertinto(A3:E3,$G$2:$H$6,"pr_Courses")</f>
        <v>insert into pr_Courses values ('CS 180', 'Discrete Structures ', 3, 'FALL 2022', 'PROF-2');</v>
      </c>
      <c r="G3" s="14" t="s">
        <v>4175</v>
      </c>
      <c r="H3" s="14" t="s">
        <v>4231</v>
      </c>
    </row>
    <row r="4" spans="1:8" ht="15" x14ac:dyDescent="0.2">
      <c r="A4" s="15" t="s">
        <v>4147</v>
      </c>
      <c r="B4" s="14" t="s">
        <v>4142</v>
      </c>
      <c r="C4" s="32">
        <v>3</v>
      </c>
      <c r="D4" s="14" t="s">
        <v>4170</v>
      </c>
      <c r="E4" t="str">
        <f xml:space="preserve"> VLOOKUP(Professors!A4,Professors!A:G,1,0)</f>
        <v>PROF-3</v>
      </c>
      <c r="F4" t="str" cm="1">
        <f t="array" ref="F4">insertinto(A4:E4,$G$2:$H$6,"pr_Courses")</f>
        <v>insert into pr_Courses values ('CS 105', 'Introduction to Programming I - Structured Programming ', 3, 'FALL 2022', 'PROF-3');</v>
      </c>
      <c r="G4" s="14" t="s">
        <v>4177</v>
      </c>
      <c r="H4" s="14" t="s">
        <v>4232</v>
      </c>
    </row>
    <row r="5" spans="1:8" ht="15" x14ac:dyDescent="0.2">
      <c r="A5" s="15" t="s">
        <v>4148</v>
      </c>
      <c r="B5" s="14" t="s">
        <v>4178</v>
      </c>
      <c r="C5" s="32">
        <v>3</v>
      </c>
      <c r="D5" s="14" t="s">
        <v>4170</v>
      </c>
      <c r="E5" t="str">
        <f xml:space="preserve"> VLOOKUP(Professors!A5,Professors!A:G,1,0)</f>
        <v>PROF-4</v>
      </c>
      <c r="F5" t="str" cm="1">
        <f t="array" ref="F5">insertinto(A5:E5,$G$2:$H$6,"pr_Courses")</f>
        <v>insert into pr_Courses values ('ECO 110', 'Ecological Principles ', 3, 'FALL 2022', 'PROF-4');</v>
      </c>
      <c r="G5" s="14" t="s">
        <v>4176</v>
      </c>
      <c r="H5" s="14" t="s">
        <v>4231</v>
      </c>
    </row>
    <row r="6" spans="1:8" ht="15" x14ac:dyDescent="0.2">
      <c r="A6" s="15" t="s">
        <v>4169</v>
      </c>
      <c r="B6" s="14" t="s">
        <v>4149</v>
      </c>
      <c r="C6" s="32">
        <v>3</v>
      </c>
      <c r="D6" s="14" t="s">
        <v>4172</v>
      </c>
      <c r="E6" t="str">
        <f xml:space="preserve"> VLOOKUP(Professors!A6,Professors!A:G,1,0)</f>
        <v>PROF-5</v>
      </c>
      <c r="F6" t="str" cm="1">
        <f t="array" ref="F6">insertinto(A6:E6,$G$2:$H$6,"pr_Courses")</f>
        <v>insert into pr_Courses values ('MATH 120', 'Calculus I for Science and Engineering ', 3, 'SPRING I', 'PROF-5');</v>
      </c>
      <c r="G6" s="14" t="s">
        <v>4181</v>
      </c>
      <c r="H6" s="14" t="s">
        <v>4231</v>
      </c>
    </row>
    <row r="7" spans="1:8" ht="15" x14ac:dyDescent="0.2">
      <c r="A7" s="15" t="s">
        <v>4153</v>
      </c>
      <c r="B7" s="14" t="s">
        <v>4150</v>
      </c>
      <c r="C7" s="32">
        <v>3</v>
      </c>
      <c r="D7" s="14" t="s">
        <v>4172</v>
      </c>
      <c r="E7" t="str">
        <f xml:space="preserve"> VLOOKUP(Professors!A7,Professors!A:G,1,0)</f>
        <v>PROF-6</v>
      </c>
      <c r="F7" t="str" cm="1">
        <f t="array" ref="F7">insertinto(A7:E7,$G$2:$H$6,"pr_Courses")</f>
        <v>insert into pr_Courses values ('ENG 102', 'Composition II ', 3, 'SPRING I', 'PROF-6');</v>
      </c>
    </row>
    <row r="8" spans="1:8" ht="15" x14ac:dyDescent="0.2">
      <c r="A8" s="15" t="s">
        <v>4154</v>
      </c>
      <c r="B8" s="14" t="s">
        <v>4151</v>
      </c>
      <c r="C8" s="32">
        <v>3</v>
      </c>
      <c r="D8" s="14" t="s">
        <v>4172</v>
      </c>
      <c r="E8" t="str">
        <f xml:space="preserve"> VLOOKUP(Professors!A8,Professors!A:G,1,0)</f>
        <v>PROF-7</v>
      </c>
      <c r="F8" t="str" cm="1">
        <f t="array" ref="F8">insertinto(A8:E8,$G$2:$H$6,"pr_Courses")</f>
        <v>insert into pr_Courses values ('CS 106', 'Introduction to Programming II- Object oriented programming ', 3, 'SPRING I', 'PROF-7');</v>
      </c>
    </row>
    <row r="9" spans="1:8" ht="15" x14ac:dyDescent="0.2">
      <c r="A9" s="15" t="s">
        <v>4155</v>
      </c>
      <c r="B9" s="14" t="s">
        <v>4152</v>
      </c>
      <c r="C9" s="32">
        <v>3</v>
      </c>
      <c r="D9" s="14" t="s">
        <v>4172</v>
      </c>
      <c r="E9" t="str">
        <f xml:space="preserve"> VLOOKUP(Professors!A9,Professors!A:G,1,0)</f>
        <v>PROF-8</v>
      </c>
      <c r="F9" t="str" cm="1">
        <f t="array" ref="F9">insertinto(A9:E9,$G$2:$H$6,"pr_Courses")</f>
        <v>insert into pr_Courses values ('CS 107', 'Digital Media Toolkit ', 3, 'SPRING I', 'PROF-8');</v>
      </c>
    </row>
    <row r="10" spans="1:8" ht="15" x14ac:dyDescent="0.2">
      <c r="A10" s="15" t="s">
        <v>4158</v>
      </c>
      <c r="B10" s="14" t="s">
        <v>4159</v>
      </c>
      <c r="C10" s="32">
        <v>3</v>
      </c>
      <c r="D10" s="14" t="s">
        <v>4173</v>
      </c>
      <c r="E10" t="str">
        <f xml:space="preserve"> VLOOKUP(Professors!A10,Professors!A:G,1,0)</f>
        <v>PROF-9</v>
      </c>
      <c r="F10" t="str" cm="1">
        <f t="array" ref="F10">insertinto(A10:E10,$G$2:$H$6,"pr_Courses")</f>
        <v>insert into pr_Courses values ('ART 120', 'Art Appreciation: Principles of Design ', 3, 'SPRING II', 'PROF-9');</v>
      </c>
    </row>
    <row r="11" spans="1:8" ht="15" x14ac:dyDescent="0.2">
      <c r="A11" s="15" t="s">
        <v>4157</v>
      </c>
      <c r="B11" s="14" t="s">
        <v>4156</v>
      </c>
      <c r="C11" s="32">
        <v>3</v>
      </c>
      <c r="D11" s="14" t="s">
        <v>4173</v>
      </c>
      <c r="E11" t="str">
        <f xml:space="preserve"> VLOOKUP(Professors!A11,Professors!A:G,1,0)</f>
        <v>PROF-10</v>
      </c>
      <c r="F11" t="str" cm="1">
        <f t="array" ref="F11">insertinto(A11:E11,$G$2:$H$6,"pr_Courses")</f>
        <v>insert into pr_Courses values ('HIS 120', 'The Modern World ', 3, 'SPRING II', 'PROF-10');</v>
      </c>
    </row>
    <row r="12" spans="1:8" ht="15" x14ac:dyDescent="0.2">
      <c r="A12" s="15" t="s">
        <v>4162</v>
      </c>
      <c r="B12" s="14" t="s">
        <v>4161</v>
      </c>
      <c r="C12" s="32">
        <v>3</v>
      </c>
      <c r="D12" s="14" t="s">
        <v>4171</v>
      </c>
      <c r="E12" t="str">
        <f xml:space="preserve"> VLOOKUP(Professors!A12,Professors!A:G,1,0)</f>
        <v>PROF-11</v>
      </c>
      <c r="F12" t="str" cm="1">
        <f t="array" ref="F12">insertinto(A12:E12,$G$2:$H$6,"pr_Courses")</f>
        <v>insert into pr_Courses values ('PHIL 101', 'Introduction to Philosophy and Critical Reasoning ', 3, 'FALL 2023', 'PROF-11');</v>
      </c>
    </row>
    <row r="13" spans="1:8" ht="15" x14ac:dyDescent="0.2">
      <c r="A13" s="15" t="s">
        <v>4163</v>
      </c>
      <c r="B13" s="14" t="s">
        <v>4164</v>
      </c>
      <c r="C13" s="32">
        <v>3</v>
      </c>
      <c r="D13" s="14" t="s">
        <v>4171</v>
      </c>
      <c r="E13" t="str">
        <f xml:space="preserve"> VLOOKUP(Professors!A13,Professors!A:G,1,0)</f>
        <v>PROF-12</v>
      </c>
      <c r="F13" t="str" cm="1">
        <f t="array" ref="F13">insertinto(A13:E13,$G$2:$H$6,"pr_Courses")</f>
        <v>insert into pr_Courses values ('POL 101', 'Contemporary Politics ', 3, 'FALL 2023', 'PROF-12');</v>
      </c>
    </row>
    <row r="14" spans="1:8" ht="15" x14ac:dyDescent="0.2">
      <c r="A14" s="15" t="s">
        <v>4165</v>
      </c>
      <c r="B14" s="14" t="s">
        <v>4166</v>
      </c>
      <c r="C14" s="32">
        <v>3</v>
      </c>
      <c r="D14" s="14" t="s">
        <v>4171</v>
      </c>
      <c r="E14" t="str">
        <f xml:space="preserve"> VLOOKUP(Professors!A14,Professors!A:G,1,0)</f>
        <v>PROF-13</v>
      </c>
      <c r="F14" t="str" cm="1">
        <f t="array" ref="F14">insertinto(A14:E14,$G$2:$H$6,"pr_Courses")</f>
        <v>insert into pr_Courses values ('CS 205', 'Business Data Management ', 3, 'FALL 2023', 'PROF-13');</v>
      </c>
    </row>
    <row r="15" spans="1:8" ht="15" x14ac:dyDescent="0.2">
      <c r="A15" s="15" t="s">
        <v>4167</v>
      </c>
      <c r="B15" s="14" t="s">
        <v>4168</v>
      </c>
      <c r="C15" s="32">
        <v>3</v>
      </c>
      <c r="D15" s="14" t="s">
        <v>4171</v>
      </c>
      <c r="E15" t="str">
        <f xml:space="preserve"> VLOOKUP(Professors!A15,Professors!A:G,1,0)</f>
        <v>PROF-14</v>
      </c>
      <c r="F15" t="str" cm="1">
        <f t="array" ref="F15">insertinto(A15:E15,$G$2:$H$6,"pr_Courses")</f>
        <v>insert into pr_Courses values ('CS 215', 'Data Structures ', 3, 'FALL 2023', 'PROF-14');</v>
      </c>
    </row>
    <row r="16" spans="1:8" ht="24" x14ac:dyDescent="0.3">
      <c r="A16" s="18" t="s">
        <v>4160</v>
      </c>
    </row>
    <row r="22" spans="1:1" ht="24" x14ac:dyDescent="0.3">
      <c r="A22" s="18" t="s">
        <v>4141</v>
      </c>
    </row>
    <row r="25" spans="1:1" ht="18" x14ac:dyDescent="0.25">
      <c r="A25" s="16"/>
    </row>
    <row r="26" spans="1:1" ht="18" x14ac:dyDescent="0.25">
      <c r="A26" s="17"/>
    </row>
    <row r="28" spans="1:1" ht="24" x14ac:dyDescent="0.3">
      <c r="A28" s="18" t="s">
        <v>4141</v>
      </c>
    </row>
  </sheetData>
  <phoneticPr fontId="28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05BC0D-6EBD-F140-AE24-D8F6009CDAC4}">
  <dimension ref="A1:I282"/>
  <sheetViews>
    <sheetView topLeftCell="A232" workbookViewId="0">
      <selection activeCell="D39" sqref="D39"/>
    </sheetView>
  </sheetViews>
  <sheetFormatPr baseColWidth="10" defaultRowHeight="13" x14ac:dyDescent="0.15"/>
  <cols>
    <col min="3" max="3" width="8.83203125" bestFit="1" customWidth="1"/>
    <col min="4" max="4" width="47.83203125" bestFit="1" customWidth="1"/>
  </cols>
  <sheetData>
    <row r="1" spans="1:9" x14ac:dyDescent="0.15">
      <c r="A1" s="34" t="s">
        <v>4135</v>
      </c>
      <c r="B1" s="23" t="s">
        <v>4174</v>
      </c>
      <c r="C1" s="14" t="s">
        <v>4341</v>
      </c>
    </row>
    <row r="2" spans="1:9" x14ac:dyDescent="0.15">
      <c r="A2" s="32">
        <f t="shared" ref="A2:A65" si="0">INDEX($H$3:$H$22,INT(G3/14)+1)</f>
        <v>20229553</v>
      </c>
      <c r="B2" t="str">
        <f t="shared" ref="B2:B65" si="1">INDEX($I$3:$I$16,MOD(G3,14)+1)</f>
        <v>ENG 101</v>
      </c>
      <c r="C2" s="14">
        <f ca="1">RANDBETWEEN(1,10)</f>
        <v>8</v>
      </c>
      <c r="D2" t="str" cm="1">
        <f t="array" aca="1" ref="D2" ca="1">insertinto(A2:C2,$E$2:$F$4,"pr_Enrolments")</f>
        <v>insert into pr_Enrolments values ('20229553', 'ENG 101', 8);</v>
      </c>
      <c r="E2" s="14" t="s">
        <v>4135</v>
      </c>
      <c r="F2" s="14" t="s">
        <v>4231</v>
      </c>
    </row>
    <row r="3" spans="1:9" x14ac:dyDescent="0.15">
      <c r="A3" s="32">
        <f t="shared" si="0"/>
        <v>20229553</v>
      </c>
      <c r="B3" t="str">
        <f t="shared" si="1"/>
        <v>CS 180</v>
      </c>
      <c r="C3" s="14">
        <f t="shared" ref="C3:C66" ca="1" si="2">RANDBETWEEN(1,10)</f>
        <v>3</v>
      </c>
      <c r="D3" t="str" cm="1">
        <f t="array" aca="1" ref="D3" ca="1">insertinto(A3:C3,$E$2:$F$4,"pr_Enrolments")</f>
        <v>insert into pr_Enrolments values ('20229553', 'CS 180', 3);</v>
      </c>
      <c r="E3" s="14" t="s">
        <v>4174</v>
      </c>
      <c r="F3" s="14" t="s">
        <v>4231</v>
      </c>
      <c r="G3">
        <v>0</v>
      </c>
      <c r="H3">
        <f xml:space="preserve"> VLOOKUP(Students!C2,Students!C:I,1,0)</f>
        <v>20229553</v>
      </c>
      <c r="I3" t="str">
        <f xml:space="preserve"> VLOOKUP(Courses!A2,Courses!A:D,1,0)</f>
        <v>ENG 101</v>
      </c>
    </row>
    <row r="4" spans="1:9" x14ac:dyDescent="0.15">
      <c r="A4" s="32">
        <f t="shared" si="0"/>
        <v>20229553</v>
      </c>
      <c r="B4" t="str">
        <f t="shared" si="1"/>
        <v>CS 105</v>
      </c>
      <c r="C4" s="14">
        <f t="shared" ca="1" si="2"/>
        <v>3</v>
      </c>
      <c r="D4" t="str" cm="1">
        <f t="array" aca="1" ref="D4" ca="1">insertinto(A4:C4,$E$2:$F$4,"pr_Enrolments")</f>
        <v>insert into pr_Enrolments values ('20229553', 'CS 105', 3);</v>
      </c>
      <c r="E4" s="14" t="s">
        <v>4341</v>
      </c>
      <c r="F4" s="14" t="s">
        <v>4232</v>
      </c>
      <c r="G4">
        <v>1</v>
      </c>
      <c r="H4">
        <f xml:space="preserve"> VLOOKUP(Students!C3,Students!C:I,1,0)</f>
        <v>20221414</v>
      </c>
      <c r="I4" t="str">
        <f xml:space="preserve"> VLOOKUP(Courses!A3,Courses!A:D,1,0)</f>
        <v>CS 180</v>
      </c>
    </row>
    <row r="5" spans="1:9" x14ac:dyDescent="0.15">
      <c r="A5" s="32">
        <f t="shared" si="0"/>
        <v>20229553</v>
      </c>
      <c r="B5" t="str">
        <f t="shared" si="1"/>
        <v>ECO 110</v>
      </c>
      <c r="C5" s="14">
        <f t="shared" ca="1" si="2"/>
        <v>6</v>
      </c>
      <c r="D5" t="str" cm="1">
        <f t="array" aca="1" ref="D5" ca="1">insertinto(A5:C5,$E$2:$F$4,"pr_Enrolments")</f>
        <v>insert into pr_Enrolments values ('20229553', 'ECO 110', 6);</v>
      </c>
      <c r="G5">
        <v>2</v>
      </c>
      <c r="H5">
        <f xml:space="preserve"> VLOOKUP(Students!C4,Students!C:I,1,0)</f>
        <v>20224306</v>
      </c>
      <c r="I5" t="str">
        <f xml:space="preserve"> VLOOKUP(Courses!A4,Courses!A:D,1,0)</f>
        <v>CS 105</v>
      </c>
    </row>
    <row r="6" spans="1:9" x14ac:dyDescent="0.15">
      <c r="A6" s="32">
        <f t="shared" si="0"/>
        <v>20229553</v>
      </c>
      <c r="B6" t="str">
        <f t="shared" si="1"/>
        <v>MATH 120</v>
      </c>
      <c r="C6" s="14">
        <f t="shared" ca="1" si="2"/>
        <v>3</v>
      </c>
      <c r="D6" t="str" cm="1">
        <f t="array" aca="1" ref="D6" ca="1">insertinto(A6:C6,$E$2:$F$4,"pr_Enrolments")</f>
        <v>insert into pr_Enrolments values ('20229553', 'MATH 120', 3);</v>
      </c>
      <c r="G6">
        <v>3</v>
      </c>
      <c r="H6">
        <f xml:space="preserve"> VLOOKUP(Students!C5,Students!C:I,1,0)</f>
        <v>20220731</v>
      </c>
      <c r="I6" t="str">
        <f xml:space="preserve"> VLOOKUP(Courses!A5,Courses!A:D,1,0)</f>
        <v>ECO 110</v>
      </c>
    </row>
    <row r="7" spans="1:9" x14ac:dyDescent="0.15">
      <c r="A7" s="32">
        <f t="shared" si="0"/>
        <v>20229553</v>
      </c>
      <c r="B7" t="str">
        <f t="shared" si="1"/>
        <v>ENG 102</v>
      </c>
      <c r="C7" s="14">
        <f t="shared" ca="1" si="2"/>
        <v>6</v>
      </c>
      <c r="D7" t="str" cm="1">
        <f t="array" aca="1" ref="D7" ca="1">insertinto(A7:C7,$E$2:$F$4,"pr_Enrolments")</f>
        <v>insert into pr_Enrolments values ('20229553', 'ENG 102', 6);</v>
      </c>
      <c r="G7">
        <v>4</v>
      </c>
      <c r="H7">
        <f xml:space="preserve"> VLOOKUP(Students!C6,Students!C:I,1,0)</f>
        <v>20227092</v>
      </c>
      <c r="I7" t="str">
        <f xml:space="preserve"> VLOOKUP(Courses!A6,Courses!A:D,1,0)</f>
        <v>MATH 120</v>
      </c>
    </row>
    <row r="8" spans="1:9" x14ac:dyDescent="0.15">
      <c r="A8" s="32">
        <f t="shared" si="0"/>
        <v>20229553</v>
      </c>
      <c r="B8" t="str">
        <f t="shared" si="1"/>
        <v>CS 106</v>
      </c>
      <c r="C8" s="14">
        <f t="shared" ca="1" si="2"/>
        <v>7</v>
      </c>
      <c r="D8" t="str" cm="1">
        <f t="array" aca="1" ref="D8" ca="1">insertinto(A8:C8,$E$2:$F$4,"pr_Enrolments")</f>
        <v>insert into pr_Enrolments values ('20229553', 'CS 106', 7);</v>
      </c>
      <c r="G8">
        <v>5</v>
      </c>
      <c r="H8">
        <f xml:space="preserve"> VLOOKUP(Students!C7,Students!C:I,1,0)</f>
        <v>20226184</v>
      </c>
      <c r="I8" t="str">
        <f xml:space="preserve"> VLOOKUP(Courses!A7,Courses!A:D,1,0)</f>
        <v>ENG 102</v>
      </c>
    </row>
    <row r="9" spans="1:9" x14ac:dyDescent="0.15">
      <c r="A9" s="32">
        <f t="shared" si="0"/>
        <v>20229553</v>
      </c>
      <c r="B9" t="str">
        <f t="shared" si="1"/>
        <v>CS 107</v>
      </c>
      <c r="C9" s="14">
        <f t="shared" ca="1" si="2"/>
        <v>7</v>
      </c>
      <c r="D9" t="str" cm="1">
        <f t="array" aca="1" ref="D9" ca="1">insertinto(A9:C9,$E$2:$F$4,"pr_Enrolments")</f>
        <v>insert into pr_Enrolments values ('20229553', 'CS 107', 7);</v>
      </c>
      <c r="G9">
        <v>6</v>
      </c>
      <c r="H9">
        <f xml:space="preserve"> VLOOKUP(Students!C8,Students!C:I,1,0)</f>
        <v>20229558</v>
      </c>
      <c r="I9" t="str">
        <f xml:space="preserve"> VLOOKUP(Courses!A8,Courses!A:D,1,0)</f>
        <v>CS 106</v>
      </c>
    </row>
    <row r="10" spans="1:9" x14ac:dyDescent="0.15">
      <c r="A10" s="32">
        <f t="shared" si="0"/>
        <v>20229553</v>
      </c>
      <c r="B10" t="str">
        <f t="shared" si="1"/>
        <v>ART 120</v>
      </c>
      <c r="C10" s="14">
        <f t="shared" ca="1" si="2"/>
        <v>9</v>
      </c>
      <c r="D10" t="str" cm="1">
        <f t="array" aca="1" ref="D10" ca="1">insertinto(A10:C10,$E$2:$F$4,"pr_Enrolments")</f>
        <v>insert into pr_Enrolments values ('20229553', 'ART 120', 9);</v>
      </c>
      <c r="G10">
        <v>7</v>
      </c>
      <c r="H10">
        <f xml:space="preserve"> VLOOKUP(Students!C9,Students!C:I,1,0)</f>
        <v>20228839</v>
      </c>
      <c r="I10" t="str">
        <f xml:space="preserve"> VLOOKUP(Courses!A9,Courses!A:D,1,0)</f>
        <v>CS 107</v>
      </c>
    </row>
    <row r="11" spans="1:9" x14ac:dyDescent="0.15">
      <c r="A11" s="32">
        <f t="shared" si="0"/>
        <v>20229553</v>
      </c>
      <c r="B11" t="str">
        <f t="shared" si="1"/>
        <v>HIS 120</v>
      </c>
      <c r="C11" s="14">
        <f t="shared" ca="1" si="2"/>
        <v>4</v>
      </c>
      <c r="D11" t="str" cm="1">
        <f t="array" aca="1" ref="D11" ca="1">insertinto(A11:C11,$E$2:$F$4,"pr_Enrolments")</f>
        <v>insert into pr_Enrolments values ('20229553', 'HIS 120', 4);</v>
      </c>
      <c r="G11">
        <v>8</v>
      </c>
      <c r="H11">
        <f xml:space="preserve"> VLOOKUP(Students!C10,Students!C:I,1,0)</f>
        <v>20227541</v>
      </c>
      <c r="I11" t="str">
        <f xml:space="preserve"> VLOOKUP(Courses!A10,Courses!A:D,1,0)</f>
        <v>ART 120</v>
      </c>
    </row>
    <row r="12" spans="1:9" x14ac:dyDescent="0.15">
      <c r="A12" s="32">
        <f t="shared" si="0"/>
        <v>20229553</v>
      </c>
      <c r="B12" t="str">
        <f t="shared" si="1"/>
        <v>PHIL 101</v>
      </c>
      <c r="C12" s="14">
        <f t="shared" ca="1" si="2"/>
        <v>1</v>
      </c>
      <c r="D12" t="str" cm="1">
        <f t="array" aca="1" ref="D12" ca="1">insertinto(A12:C12,$E$2:$F$4,"pr_Enrolments")</f>
        <v>insert into pr_Enrolments values ('20229553', 'PHIL 101', 1);</v>
      </c>
      <c r="G12">
        <v>9</v>
      </c>
      <c r="H12">
        <f xml:space="preserve"> VLOOKUP(Students!C11,Students!C:I,1,0)</f>
        <v>20227466</v>
      </c>
      <c r="I12" t="str">
        <f xml:space="preserve"> VLOOKUP(Courses!A11,Courses!A:D,1,0)</f>
        <v>HIS 120</v>
      </c>
    </row>
    <row r="13" spans="1:9" x14ac:dyDescent="0.15">
      <c r="A13" s="32">
        <f t="shared" si="0"/>
        <v>20229553</v>
      </c>
      <c r="B13" t="str">
        <f t="shared" si="1"/>
        <v>POL 101</v>
      </c>
      <c r="C13" s="14">
        <f t="shared" ca="1" si="2"/>
        <v>6</v>
      </c>
      <c r="D13" t="str" cm="1">
        <f t="array" aca="1" ref="D13" ca="1">insertinto(A13:C13,$E$2:$F$4,"pr_Enrolments")</f>
        <v>insert into pr_Enrolments values ('20229553', 'POL 101', 6);</v>
      </c>
      <c r="G13">
        <v>10</v>
      </c>
      <c r="H13">
        <f xml:space="preserve"> VLOOKUP(Students!C12,Students!C:I,1,0)</f>
        <v>20226221</v>
      </c>
      <c r="I13" t="str">
        <f xml:space="preserve"> VLOOKUP(Courses!A12,Courses!A:D,1,0)</f>
        <v>PHIL 101</v>
      </c>
    </row>
    <row r="14" spans="1:9" x14ac:dyDescent="0.15">
      <c r="A14" s="32">
        <f t="shared" si="0"/>
        <v>20229553</v>
      </c>
      <c r="B14" t="str">
        <f t="shared" si="1"/>
        <v>CS 205</v>
      </c>
      <c r="C14" s="14">
        <f t="shared" ca="1" si="2"/>
        <v>7</v>
      </c>
      <c r="D14" t="str" cm="1">
        <f t="array" aca="1" ref="D14" ca="1">insertinto(A14:C14,$E$2:$F$4,"pr_Enrolments")</f>
        <v>insert into pr_Enrolments values ('20229553', 'CS 205', 7);</v>
      </c>
      <c r="G14">
        <v>11</v>
      </c>
      <c r="H14">
        <f xml:space="preserve"> VLOOKUP(Students!C13,Students!C:I,1,0)</f>
        <v>20224946</v>
      </c>
      <c r="I14" t="str">
        <f xml:space="preserve"> VLOOKUP(Courses!A13,Courses!A:D,1,0)</f>
        <v>POL 101</v>
      </c>
    </row>
    <row r="15" spans="1:9" x14ac:dyDescent="0.15">
      <c r="A15" s="32">
        <f t="shared" si="0"/>
        <v>20229553</v>
      </c>
      <c r="B15" t="str">
        <f t="shared" si="1"/>
        <v>CS 215</v>
      </c>
      <c r="C15" s="14">
        <f t="shared" ca="1" si="2"/>
        <v>4</v>
      </c>
      <c r="D15" t="str" cm="1">
        <f t="array" aca="1" ref="D15" ca="1">insertinto(A15:C15,$E$2:$F$4,"pr_Enrolments")</f>
        <v>insert into pr_Enrolments values ('20229553', 'CS 215', 4);</v>
      </c>
      <c r="G15">
        <v>12</v>
      </c>
      <c r="H15">
        <f xml:space="preserve"> VLOOKUP(Students!C14,Students!C:I,1,0)</f>
        <v>20227782</v>
      </c>
      <c r="I15" t="str">
        <f xml:space="preserve"> VLOOKUP(Courses!A14,Courses!A:D,1,0)</f>
        <v>CS 205</v>
      </c>
    </row>
    <row r="16" spans="1:9" x14ac:dyDescent="0.15">
      <c r="A16" s="32">
        <f t="shared" si="0"/>
        <v>20221414</v>
      </c>
      <c r="B16" t="str">
        <f t="shared" si="1"/>
        <v>ENG 101</v>
      </c>
      <c r="C16" s="14">
        <f t="shared" ca="1" si="2"/>
        <v>6</v>
      </c>
      <c r="D16" t="str" cm="1">
        <f t="array" aca="1" ref="D16" ca="1">insertinto(A16:C16,$E$2:$F$4,"pr_Enrolments")</f>
        <v>insert into pr_Enrolments values ('20221414', 'ENG 101', 6);</v>
      </c>
      <c r="G16">
        <v>13</v>
      </c>
      <c r="H16">
        <f xml:space="preserve"> VLOOKUP(Students!C15,Students!C:I,1,0)</f>
        <v>20227177</v>
      </c>
      <c r="I16" t="str">
        <f xml:space="preserve"> VLOOKUP(Courses!A15,Courses!A:D,1,0)</f>
        <v>CS 215</v>
      </c>
    </row>
    <row r="17" spans="1:8" x14ac:dyDescent="0.15">
      <c r="A17" s="32">
        <f t="shared" si="0"/>
        <v>20221414</v>
      </c>
      <c r="B17" t="str">
        <f t="shared" si="1"/>
        <v>CS 180</v>
      </c>
      <c r="C17" s="14">
        <f t="shared" ca="1" si="2"/>
        <v>3</v>
      </c>
      <c r="D17" t="str" cm="1">
        <f t="array" aca="1" ref="D17" ca="1">insertinto(A17:C17,$E$2:$F$4,"pr_Enrolments")</f>
        <v>insert into pr_Enrolments values ('20221414', 'CS 180', 3);</v>
      </c>
      <c r="G17">
        <v>14</v>
      </c>
      <c r="H17">
        <f xml:space="preserve"> VLOOKUP(Students!C16,Students!C:I,1,0)</f>
        <v>20221564</v>
      </c>
    </row>
    <row r="18" spans="1:8" x14ac:dyDescent="0.15">
      <c r="A18" s="32">
        <f t="shared" si="0"/>
        <v>20221414</v>
      </c>
      <c r="B18" t="str">
        <f t="shared" si="1"/>
        <v>CS 105</v>
      </c>
      <c r="C18" s="14">
        <f t="shared" ca="1" si="2"/>
        <v>7</v>
      </c>
      <c r="D18" t="str" cm="1">
        <f t="array" aca="1" ref="D18" ca="1">insertinto(A18:C18,$E$2:$F$4,"pr_Enrolments")</f>
        <v>insert into pr_Enrolments values ('20221414', 'CS 105', 7);</v>
      </c>
      <c r="G18">
        <v>15</v>
      </c>
      <c r="H18">
        <f xml:space="preserve"> VLOOKUP(Students!C17,Students!C:I,1,0)</f>
        <v>20224484</v>
      </c>
    </row>
    <row r="19" spans="1:8" x14ac:dyDescent="0.15">
      <c r="A19" s="32">
        <f t="shared" si="0"/>
        <v>20221414</v>
      </c>
      <c r="B19" t="str">
        <f t="shared" si="1"/>
        <v>ECO 110</v>
      </c>
      <c r="C19" s="14">
        <f t="shared" ca="1" si="2"/>
        <v>1</v>
      </c>
      <c r="D19" t="str" cm="1">
        <f t="array" aca="1" ref="D19" ca="1">insertinto(A19:C19,$E$2:$F$4,"pr_Enrolments")</f>
        <v>insert into pr_Enrolments values ('20221414', 'ECO 110', 1);</v>
      </c>
      <c r="G19">
        <v>16</v>
      </c>
      <c r="H19">
        <f xml:space="preserve"> VLOOKUP(Students!C18,Students!C:I,1,0)</f>
        <v>20226724</v>
      </c>
    </row>
    <row r="20" spans="1:8" x14ac:dyDescent="0.15">
      <c r="A20" s="32">
        <f t="shared" si="0"/>
        <v>20221414</v>
      </c>
      <c r="B20" t="str">
        <f t="shared" si="1"/>
        <v>MATH 120</v>
      </c>
      <c r="C20" s="14">
        <f t="shared" ca="1" si="2"/>
        <v>9</v>
      </c>
      <c r="D20" t="str" cm="1">
        <f t="array" aca="1" ref="D20" ca="1">insertinto(A20:C20,$E$2:$F$4,"pr_Enrolments")</f>
        <v>insert into pr_Enrolments values ('20221414', 'MATH 120', 9);</v>
      </c>
      <c r="G20">
        <v>17</v>
      </c>
      <c r="H20">
        <f xml:space="preserve"> VLOOKUP(Students!C19,Students!C:I,1,0)</f>
        <v>20225519</v>
      </c>
    </row>
    <row r="21" spans="1:8" x14ac:dyDescent="0.15">
      <c r="A21" s="32">
        <f t="shared" si="0"/>
        <v>20221414</v>
      </c>
      <c r="B21" t="str">
        <f t="shared" si="1"/>
        <v>ENG 102</v>
      </c>
      <c r="C21" s="14">
        <f t="shared" ca="1" si="2"/>
        <v>1</v>
      </c>
      <c r="D21" t="str" cm="1">
        <f t="array" aca="1" ref="D21" ca="1">insertinto(A21:C21,$E$2:$F$4,"pr_Enrolments")</f>
        <v>insert into pr_Enrolments values ('20221414', 'ENG 102', 1);</v>
      </c>
      <c r="G21">
        <v>18</v>
      </c>
      <c r="H21">
        <f xml:space="preserve"> VLOOKUP(Students!C20,Students!C:I,1,0)</f>
        <v>20227388</v>
      </c>
    </row>
    <row r="22" spans="1:8" x14ac:dyDescent="0.15">
      <c r="A22" s="32">
        <f t="shared" si="0"/>
        <v>20221414</v>
      </c>
      <c r="B22" t="str">
        <f t="shared" si="1"/>
        <v>CS 106</v>
      </c>
      <c r="C22" s="14">
        <f t="shared" ca="1" si="2"/>
        <v>8</v>
      </c>
      <c r="D22" t="str" cm="1">
        <f t="array" aca="1" ref="D22" ca="1">insertinto(A22:C22,$E$2:$F$4,"pr_Enrolments")</f>
        <v>insert into pr_Enrolments values ('20221414', 'CS 106', 8);</v>
      </c>
      <c r="G22">
        <v>19</v>
      </c>
      <c r="H22">
        <f xml:space="preserve"> VLOOKUP(Students!C21,Students!C:I,1,0)</f>
        <v>20223671</v>
      </c>
    </row>
    <row r="23" spans="1:8" x14ac:dyDescent="0.15">
      <c r="A23" s="32">
        <f t="shared" si="0"/>
        <v>20221414</v>
      </c>
      <c r="B23" t="str">
        <f t="shared" si="1"/>
        <v>CS 107</v>
      </c>
      <c r="C23" s="14">
        <f t="shared" ca="1" si="2"/>
        <v>9</v>
      </c>
      <c r="D23" t="str" cm="1">
        <f t="array" aca="1" ref="D23" ca="1">insertinto(A23:C23,$E$2:$F$4,"pr_Enrolments")</f>
        <v>insert into pr_Enrolments values ('20221414', 'CS 107', 9);</v>
      </c>
      <c r="G23">
        <v>20</v>
      </c>
    </row>
    <row r="24" spans="1:8" x14ac:dyDescent="0.15">
      <c r="A24" s="32">
        <f t="shared" si="0"/>
        <v>20221414</v>
      </c>
      <c r="B24" t="str">
        <f t="shared" si="1"/>
        <v>ART 120</v>
      </c>
      <c r="C24" s="14">
        <v>13</v>
      </c>
      <c r="D24" t="str" cm="1">
        <f t="array" ref="D24">insertinto(A24:C24,$E$2:$F$4,"pr_Enrolments")</f>
        <v>insert into pr_Enrolments values ('20221414', 'ART 120', 13);</v>
      </c>
      <c r="G24">
        <v>21</v>
      </c>
    </row>
    <row r="25" spans="1:8" x14ac:dyDescent="0.15">
      <c r="A25" s="32">
        <f t="shared" si="0"/>
        <v>20221414</v>
      </c>
      <c r="B25" t="str">
        <f t="shared" si="1"/>
        <v>HIS 120</v>
      </c>
      <c r="C25" s="14">
        <v>11</v>
      </c>
      <c r="D25" t="str" cm="1">
        <f t="array" ref="D25">insertinto(A25:C25,$E$2:$F$4,"pr_Enrolments")</f>
        <v>insert into pr_Enrolments values ('20221414', 'HIS 120', 11);</v>
      </c>
      <c r="G25">
        <v>22</v>
      </c>
    </row>
    <row r="26" spans="1:8" x14ac:dyDescent="0.15">
      <c r="A26" s="32">
        <f t="shared" si="0"/>
        <v>20221414</v>
      </c>
      <c r="B26" t="str">
        <f t="shared" si="1"/>
        <v>PHIL 101</v>
      </c>
      <c r="C26" s="14">
        <f t="shared" ca="1" si="2"/>
        <v>7</v>
      </c>
      <c r="D26" t="str" cm="1">
        <f t="array" aca="1" ref="D26" ca="1">insertinto(A26:C26,$E$2:$F$4,"pr_Enrolments")</f>
        <v>insert into pr_Enrolments values ('20221414', 'PHIL 101', 7);</v>
      </c>
      <c r="G26">
        <v>23</v>
      </c>
    </row>
    <row r="27" spans="1:8" x14ac:dyDescent="0.15">
      <c r="A27" s="32">
        <f t="shared" si="0"/>
        <v>20221414</v>
      </c>
      <c r="B27" t="str">
        <f t="shared" si="1"/>
        <v>POL 101</v>
      </c>
      <c r="C27" s="14">
        <f t="shared" ca="1" si="2"/>
        <v>9</v>
      </c>
      <c r="D27" t="str" cm="1">
        <f t="array" aca="1" ref="D27" ca="1">insertinto(A27:C27,$E$2:$F$4,"pr_Enrolments")</f>
        <v>insert into pr_Enrolments values ('20221414', 'POL 101', 9);</v>
      </c>
      <c r="G27">
        <v>24</v>
      </c>
    </row>
    <row r="28" spans="1:8" x14ac:dyDescent="0.15">
      <c r="A28" s="32">
        <f t="shared" si="0"/>
        <v>20221414</v>
      </c>
      <c r="B28" t="str">
        <f t="shared" si="1"/>
        <v>CS 205</v>
      </c>
      <c r="C28" s="14">
        <f t="shared" ca="1" si="2"/>
        <v>6</v>
      </c>
      <c r="D28" t="str" cm="1">
        <f t="array" aca="1" ref="D28" ca="1">insertinto(A28:C28,$E$2:$F$4,"pr_Enrolments")</f>
        <v>insert into pr_Enrolments values ('20221414', 'CS 205', 6);</v>
      </c>
      <c r="G28">
        <v>25</v>
      </c>
    </row>
    <row r="29" spans="1:8" x14ac:dyDescent="0.15">
      <c r="A29" s="32">
        <f t="shared" si="0"/>
        <v>20221414</v>
      </c>
      <c r="B29" t="str">
        <f t="shared" si="1"/>
        <v>CS 215</v>
      </c>
      <c r="C29" s="14">
        <f t="shared" ca="1" si="2"/>
        <v>4</v>
      </c>
      <c r="D29" t="str" cm="1">
        <f t="array" aca="1" ref="D29" ca="1">insertinto(A29:C29,$E$2:$F$4,"pr_Enrolments")</f>
        <v>insert into pr_Enrolments values ('20221414', 'CS 215', 4);</v>
      </c>
      <c r="G29">
        <v>26</v>
      </c>
    </row>
    <row r="30" spans="1:8" x14ac:dyDescent="0.15">
      <c r="A30" s="32">
        <f t="shared" si="0"/>
        <v>20224306</v>
      </c>
      <c r="B30" t="str">
        <f t="shared" si="1"/>
        <v>ENG 101</v>
      </c>
      <c r="C30" s="14">
        <f t="shared" ca="1" si="2"/>
        <v>5</v>
      </c>
      <c r="D30" t="str" cm="1">
        <f t="array" aca="1" ref="D30" ca="1">insertinto(A30:C30,$E$2:$F$4,"pr_Enrolments")</f>
        <v>insert into pr_Enrolments values ('20224306', 'ENG 101', 5);</v>
      </c>
      <c r="G30">
        <v>27</v>
      </c>
    </row>
    <row r="31" spans="1:8" x14ac:dyDescent="0.15">
      <c r="A31" s="32">
        <f t="shared" si="0"/>
        <v>20224306</v>
      </c>
      <c r="B31" t="str">
        <f t="shared" si="1"/>
        <v>CS 180</v>
      </c>
      <c r="C31" s="14">
        <f t="shared" ca="1" si="2"/>
        <v>6</v>
      </c>
      <c r="D31" t="str" cm="1">
        <f t="array" aca="1" ref="D31" ca="1">insertinto(A31:C31,$E$2:$F$4,"pr_Enrolments")</f>
        <v>insert into pr_Enrolments values ('20224306', 'CS 180', 6);</v>
      </c>
      <c r="G31">
        <v>28</v>
      </c>
    </row>
    <row r="32" spans="1:8" x14ac:dyDescent="0.15">
      <c r="A32" s="32">
        <f t="shared" si="0"/>
        <v>20224306</v>
      </c>
      <c r="B32" t="str">
        <f t="shared" si="1"/>
        <v>CS 105</v>
      </c>
      <c r="C32" s="14">
        <f t="shared" ca="1" si="2"/>
        <v>9</v>
      </c>
      <c r="D32" t="str" cm="1">
        <f t="array" aca="1" ref="D32" ca="1">insertinto(A32:C32,$E$2:$F$4,"pr_Enrolments")</f>
        <v>insert into pr_Enrolments values ('20224306', 'CS 105', 9);</v>
      </c>
      <c r="G32">
        <v>29</v>
      </c>
    </row>
    <row r="33" spans="1:7" x14ac:dyDescent="0.15">
      <c r="A33" s="32">
        <f t="shared" si="0"/>
        <v>20224306</v>
      </c>
      <c r="B33" t="str">
        <f t="shared" si="1"/>
        <v>ECO 110</v>
      </c>
      <c r="C33" s="14">
        <f t="shared" ca="1" si="2"/>
        <v>8</v>
      </c>
      <c r="D33" t="str" cm="1">
        <f t="array" aca="1" ref="D33" ca="1">insertinto(A33:C33,$E$2:$F$4,"pr_Enrolments")</f>
        <v>insert into pr_Enrolments values ('20224306', 'ECO 110', 8);</v>
      </c>
      <c r="G33">
        <v>30</v>
      </c>
    </row>
    <row r="34" spans="1:7" x14ac:dyDescent="0.15">
      <c r="A34" s="32">
        <f t="shared" si="0"/>
        <v>20224306</v>
      </c>
      <c r="B34" t="str">
        <f t="shared" si="1"/>
        <v>MATH 120</v>
      </c>
      <c r="C34" s="14">
        <f t="shared" ca="1" si="2"/>
        <v>7</v>
      </c>
      <c r="D34" t="str" cm="1">
        <f t="array" aca="1" ref="D34" ca="1">insertinto(A34:C34,$E$2:$F$4,"pr_Enrolments")</f>
        <v>insert into pr_Enrolments values ('20224306', 'MATH 120', 7);</v>
      </c>
      <c r="G34">
        <v>31</v>
      </c>
    </row>
    <row r="35" spans="1:7" x14ac:dyDescent="0.15">
      <c r="A35" s="32">
        <f t="shared" si="0"/>
        <v>20224306</v>
      </c>
      <c r="B35" t="str">
        <f t="shared" si="1"/>
        <v>ENG 102</v>
      </c>
      <c r="C35" s="14">
        <f t="shared" ca="1" si="2"/>
        <v>10</v>
      </c>
      <c r="D35" t="str" cm="1">
        <f t="array" aca="1" ref="D35" ca="1">insertinto(A35:C35,$E$2:$F$4,"pr_Enrolments")</f>
        <v>insert into pr_Enrolments values ('20224306', 'ENG 102', 10);</v>
      </c>
      <c r="G35">
        <v>32</v>
      </c>
    </row>
    <row r="36" spans="1:7" x14ac:dyDescent="0.15">
      <c r="A36" s="32">
        <f t="shared" si="0"/>
        <v>20224306</v>
      </c>
      <c r="B36" t="str">
        <f t="shared" si="1"/>
        <v>CS 106</v>
      </c>
      <c r="C36" s="14">
        <f t="shared" ca="1" si="2"/>
        <v>10</v>
      </c>
      <c r="D36" t="str" cm="1">
        <f t="array" aca="1" ref="D36" ca="1">insertinto(A36:C36,$E$2:$F$4,"pr_Enrolments")</f>
        <v>insert into pr_Enrolments values ('20224306', 'CS 106', 10);</v>
      </c>
      <c r="G36">
        <v>33</v>
      </c>
    </row>
    <row r="37" spans="1:7" x14ac:dyDescent="0.15">
      <c r="A37" s="32">
        <f t="shared" si="0"/>
        <v>20224306</v>
      </c>
      <c r="B37" t="str">
        <f t="shared" si="1"/>
        <v>CS 107</v>
      </c>
      <c r="C37" s="14">
        <f t="shared" ca="1" si="2"/>
        <v>1</v>
      </c>
      <c r="D37" t="str" cm="1">
        <f t="array" aca="1" ref="D37" ca="1">insertinto(A37:C37,$E$2:$F$4,"pr_Enrolments")</f>
        <v>insert into pr_Enrolments values ('20224306', 'CS 107', 1);</v>
      </c>
      <c r="G37">
        <v>34</v>
      </c>
    </row>
    <row r="38" spans="1:7" x14ac:dyDescent="0.15">
      <c r="A38" s="32">
        <f t="shared" si="0"/>
        <v>20224306</v>
      </c>
      <c r="B38" t="str">
        <f t="shared" si="1"/>
        <v>ART 120</v>
      </c>
      <c r="C38" s="14">
        <f t="shared" ca="1" si="2"/>
        <v>2</v>
      </c>
      <c r="D38" t="str" cm="1">
        <f t="array" aca="1" ref="D38" ca="1">insertinto(A38:C38,$E$2:$F$4,"pr_Enrolments")</f>
        <v>insert into pr_Enrolments values ('20224306', 'ART 120', 2);</v>
      </c>
      <c r="G38">
        <v>35</v>
      </c>
    </row>
    <row r="39" spans="1:7" x14ac:dyDescent="0.15">
      <c r="A39" s="32">
        <f t="shared" si="0"/>
        <v>20224306</v>
      </c>
      <c r="B39" t="str">
        <f t="shared" si="1"/>
        <v>HIS 120</v>
      </c>
      <c r="C39" s="14">
        <f t="shared" ca="1" si="2"/>
        <v>8</v>
      </c>
      <c r="D39" t="str" cm="1">
        <f t="array" aca="1" ref="D39" ca="1">insertinto(A39:C39,$E$2:$F$4,"pr_Enrolments")</f>
        <v>insert into pr_Enrolments values ('20224306', 'HIS 120', 8);</v>
      </c>
      <c r="G39">
        <v>36</v>
      </c>
    </row>
    <row r="40" spans="1:7" x14ac:dyDescent="0.15">
      <c r="A40" s="32">
        <f t="shared" si="0"/>
        <v>20224306</v>
      </c>
      <c r="B40" t="str">
        <f t="shared" si="1"/>
        <v>PHIL 101</v>
      </c>
      <c r="C40" s="14">
        <f t="shared" ca="1" si="2"/>
        <v>4</v>
      </c>
      <c r="D40" t="str" cm="1">
        <f t="array" aca="1" ref="D40" ca="1">insertinto(A40:C40,$E$2:$F$4,"pr_Enrolments")</f>
        <v>insert into pr_Enrolments values ('20224306', 'PHIL 101', 4);</v>
      </c>
      <c r="G40">
        <v>37</v>
      </c>
    </row>
    <row r="41" spans="1:7" x14ac:dyDescent="0.15">
      <c r="A41" s="32">
        <f t="shared" si="0"/>
        <v>20224306</v>
      </c>
      <c r="B41" t="str">
        <f t="shared" si="1"/>
        <v>POL 101</v>
      </c>
      <c r="C41" s="14">
        <f t="shared" ca="1" si="2"/>
        <v>7</v>
      </c>
      <c r="D41" t="str" cm="1">
        <f t="array" aca="1" ref="D41" ca="1">insertinto(A41:C41,$E$2:$F$4,"pr_Enrolments")</f>
        <v>insert into pr_Enrolments values ('20224306', 'POL 101', 7);</v>
      </c>
      <c r="G41">
        <v>38</v>
      </c>
    </row>
    <row r="42" spans="1:7" x14ac:dyDescent="0.15">
      <c r="A42" s="32">
        <f t="shared" si="0"/>
        <v>20224306</v>
      </c>
      <c r="B42" t="str">
        <f t="shared" si="1"/>
        <v>CS 205</v>
      </c>
      <c r="C42" s="14">
        <f t="shared" ca="1" si="2"/>
        <v>10</v>
      </c>
      <c r="D42" t="str" cm="1">
        <f t="array" aca="1" ref="D42" ca="1">insertinto(A42:C42,$E$2:$F$4,"pr_Enrolments")</f>
        <v>insert into pr_Enrolments values ('20224306', 'CS 205', 10);</v>
      </c>
      <c r="G42">
        <v>39</v>
      </c>
    </row>
    <row r="43" spans="1:7" x14ac:dyDescent="0.15">
      <c r="A43" s="32">
        <f t="shared" si="0"/>
        <v>20224306</v>
      </c>
      <c r="B43" t="str">
        <f t="shared" si="1"/>
        <v>CS 215</v>
      </c>
      <c r="C43" s="14">
        <f t="shared" ca="1" si="2"/>
        <v>9</v>
      </c>
      <c r="D43" t="str" cm="1">
        <f t="array" aca="1" ref="D43" ca="1">insertinto(A43:C43,$E$2:$F$4,"pr_Enrolments")</f>
        <v>insert into pr_Enrolments values ('20224306', 'CS 215', 9);</v>
      </c>
      <c r="G43">
        <v>40</v>
      </c>
    </row>
    <row r="44" spans="1:7" x14ac:dyDescent="0.15">
      <c r="A44" s="32">
        <f t="shared" si="0"/>
        <v>20220731</v>
      </c>
      <c r="B44" t="str">
        <f t="shared" si="1"/>
        <v>ENG 101</v>
      </c>
      <c r="C44" s="14">
        <f t="shared" ca="1" si="2"/>
        <v>3</v>
      </c>
      <c r="D44" t="str" cm="1">
        <f t="array" aca="1" ref="D44" ca="1">insertinto(A44:C44,$E$2:$F$4,"pr_Enrolments")</f>
        <v>insert into pr_Enrolments values ('20220731', 'ENG 101', 3);</v>
      </c>
      <c r="G44">
        <v>41</v>
      </c>
    </row>
    <row r="45" spans="1:7" x14ac:dyDescent="0.15">
      <c r="A45" s="32">
        <f t="shared" si="0"/>
        <v>20220731</v>
      </c>
      <c r="B45" t="str">
        <f t="shared" si="1"/>
        <v>CS 180</v>
      </c>
      <c r="C45" s="14">
        <f t="shared" ca="1" si="2"/>
        <v>3</v>
      </c>
      <c r="D45" t="str" cm="1">
        <f t="array" aca="1" ref="D45" ca="1">insertinto(A45:C45,$E$2:$F$4,"pr_Enrolments")</f>
        <v>insert into pr_Enrolments values ('20220731', 'CS 180', 3);</v>
      </c>
      <c r="G45">
        <v>42</v>
      </c>
    </row>
    <row r="46" spans="1:7" x14ac:dyDescent="0.15">
      <c r="A46" s="32">
        <f t="shared" si="0"/>
        <v>20220731</v>
      </c>
      <c r="B46" t="str">
        <f t="shared" si="1"/>
        <v>CS 105</v>
      </c>
      <c r="C46" s="14">
        <f t="shared" ca="1" si="2"/>
        <v>6</v>
      </c>
      <c r="D46" t="str" cm="1">
        <f t="array" aca="1" ref="D46" ca="1">insertinto(A46:C46,$E$2:$F$4,"pr_Enrolments")</f>
        <v>insert into pr_Enrolments values ('20220731', 'CS 105', 6);</v>
      </c>
      <c r="G46">
        <v>43</v>
      </c>
    </row>
    <row r="47" spans="1:7" x14ac:dyDescent="0.15">
      <c r="A47" s="32">
        <f t="shared" si="0"/>
        <v>20220731</v>
      </c>
      <c r="B47" t="str">
        <f t="shared" si="1"/>
        <v>ECO 110</v>
      </c>
      <c r="C47" s="14">
        <f t="shared" ca="1" si="2"/>
        <v>1</v>
      </c>
      <c r="D47" t="str" cm="1">
        <f t="array" aca="1" ref="D47" ca="1">insertinto(A47:C47,$E$2:$F$4,"pr_Enrolments")</f>
        <v>insert into pr_Enrolments values ('20220731', 'ECO 110', 1);</v>
      </c>
      <c r="G47">
        <v>44</v>
      </c>
    </row>
    <row r="48" spans="1:7" x14ac:dyDescent="0.15">
      <c r="A48" s="32">
        <f t="shared" si="0"/>
        <v>20220731</v>
      </c>
      <c r="B48" t="str">
        <f t="shared" si="1"/>
        <v>MATH 120</v>
      </c>
      <c r="C48" s="14">
        <f t="shared" ca="1" si="2"/>
        <v>4</v>
      </c>
      <c r="D48" t="str" cm="1">
        <f t="array" aca="1" ref="D48" ca="1">insertinto(A48:C48,$E$2:$F$4,"pr_Enrolments")</f>
        <v>insert into pr_Enrolments values ('20220731', 'MATH 120', 4);</v>
      </c>
      <c r="G48">
        <v>45</v>
      </c>
    </row>
    <row r="49" spans="1:7" x14ac:dyDescent="0.15">
      <c r="A49" s="32">
        <f t="shared" si="0"/>
        <v>20220731</v>
      </c>
      <c r="B49" t="str">
        <f t="shared" si="1"/>
        <v>ENG 102</v>
      </c>
      <c r="C49" s="14">
        <f t="shared" ca="1" si="2"/>
        <v>5</v>
      </c>
      <c r="D49" t="str" cm="1">
        <f t="array" aca="1" ref="D49" ca="1">insertinto(A49:C49,$E$2:$F$4,"pr_Enrolments")</f>
        <v>insert into pr_Enrolments values ('20220731', 'ENG 102', 5);</v>
      </c>
      <c r="G49">
        <v>46</v>
      </c>
    </row>
    <row r="50" spans="1:7" x14ac:dyDescent="0.15">
      <c r="A50" s="32">
        <f t="shared" si="0"/>
        <v>20220731</v>
      </c>
      <c r="B50" t="str">
        <f t="shared" si="1"/>
        <v>CS 106</v>
      </c>
      <c r="C50" s="14">
        <f t="shared" ca="1" si="2"/>
        <v>8</v>
      </c>
      <c r="D50" t="str" cm="1">
        <f t="array" aca="1" ref="D50" ca="1">insertinto(A50:C50,$E$2:$F$4,"pr_Enrolments")</f>
        <v>insert into pr_Enrolments values ('20220731', 'CS 106', 8);</v>
      </c>
      <c r="G50">
        <v>47</v>
      </c>
    </row>
    <row r="51" spans="1:7" x14ac:dyDescent="0.15">
      <c r="A51" s="32">
        <f t="shared" si="0"/>
        <v>20220731</v>
      </c>
      <c r="B51" t="str">
        <f t="shared" si="1"/>
        <v>CS 107</v>
      </c>
      <c r="C51" s="14">
        <f t="shared" ca="1" si="2"/>
        <v>9</v>
      </c>
      <c r="D51" t="str" cm="1">
        <f t="array" aca="1" ref="D51" ca="1">insertinto(A51:C51,$E$2:$F$4,"pr_Enrolments")</f>
        <v>insert into pr_Enrolments values ('20220731', 'CS 107', 9);</v>
      </c>
      <c r="G51">
        <v>48</v>
      </c>
    </row>
    <row r="52" spans="1:7" x14ac:dyDescent="0.15">
      <c r="A52" s="32">
        <f t="shared" si="0"/>
        <v>20220731</v>
      </c>
      <c r="B52" t="str">
        <f t="shared" si="1"/>
        <v>ART 120</v>
      </c>
      <c r="C52" s="14">
        <f t="shared" ca="1" si="2"/>
        <v>2</v>
      </c>
      <c r="D52" t="str" cm="1">
        <f t="array" aca="1" ref="D52" ca="1">insertinto(A52:C52,$E$2:$F$4,"pr_Enrolments")</f>
        <v>insert into pr_Enrolments values ('20220731', 'ART 120', 2);</v>
      </c>
      <c r="G52">
        <v>49</v>
      </c>
    </row>
    <row r="53" spans="1:7" x14ac:dyDescent="0.15">
      <c r="A53" s="32">
        <f t="shared" si="0"/>
        <v>20220731</v>
      </c>
      <c r="B53" t="str">
        <f t="shared" si="1"/>
        <v>HIS 120</v>
      </c>
      <c r="C53" s="14">
        <f t="shared" ca="1" si="2"/>
        <v>5</v>
      </c>
      <c r="D53" t="str" cm="1">
        <f t="array" aca="1" ref="D53" ca="1">insertinto(A53:C53,$E$2:$F$4,"pr_Enrolments")</f>
        <v>insert into pr_Enrolments values ('20220731', 'HIS 120', 5);</v>
      </c>
      <c r="G53">
        <v>50</v>
      </c>
    </row>
    <row r="54" spans="1:7" x14ac:dyDescent="0.15">
      <c r="A54" s="32">
        <f t="shared" si="0"/>
        <v>20220731</v>
      </c>
      <c r="B54" t="str">
        <f t="shared" si="1"/>
        <v>PHIL 101</v>
      </c>
      <c r="C54" s="14">
        <f t="shared" ca="1" si="2"/>
        <v>1</v>
      </c>
      <c r="D54" t="str" cm="1">
        <f t="array" aca="1" ref="D54" ca="1">insertinto(A54:C54,$E$2:$F$4,"pr_Enrolments")</f>
        <v>insert into pr_Enrolments values ('20220731', 'PHIL 101', 1);</v>
      </c>
      <c r="G54">
        <v>51</v>
      </c>
    </row>
    <row r="55" spans="1:7" x14ac:dyDescent="0.15">
      <c r="A55" s="32">
        <f t="shared" si="0"/>
        <v>20220731</v>
      </c>
      <c r="B55" t="str">
        <f t="shared" si="1"/>
        <v>POL 101</v>
      </c>
      <c r="C55" s="14">
        <f t="shared" ca="1" si="2"/>
        <v>8</v>
      </c>
      <c r="D55" t="str" cm="1">
        <f t="array" aca="1" ref="D55" ca="1">insertinto(A55:C55,$E$2:$F$4,"pr_Enrolments")</f>
        <v>insert into pr_Enrolments values ('20220731', 'POL 101', 8);</v>
      </c>
      <c r="G55">
        <v>52</v>
      </c>
    </row>
    <row r="56" spans="1:7" x14ac:dyDescent="0.15">
      <c r="A56" s="32">
        <f t="shared" si="0"/>
        <v>20220731</v>
      </c>
      <c r="B56" t="str">
        <f t="shared" si="1"/>
        <v>CS 205</v>
      </c>
      <c r="C56" s="14">
        <f t="shared" ca="1" si="2"/>
        <v>3</v>
      </c>
      <c r="D56" t="str" cm="1">
        <f t="array" aca="1" ref="D56" ca="1">insertinto(A56:C56,$E$2:$F$4,"pr_Enrolments")</f>
        <v>insert into pr_Enrolments values ('20220731', 'CS 205', 3);</v>
      </c>
      <c r="G56">
        <v>53</v>
      </c>
    </row>
    <row r="57" spans="1:7" x14ac:dyDescent="0.15">
      <c r="A57" s="32">
        <f t="shared" si="0"/>
        <v>20220731</v>
      </c>
      <c r="B57" t="str">
        <f t="shared" si="1"/>
        <v>CS 215</v>
      </c>
      <c r="C57" s="14">
        <f t="shared" ca="1" si="2"/>
        <v>4</v>
      </c>
      <c r="D57" t="str" cm="1">
        <f t="array" aca="1" ref="D57" ca="1">insertinto(A57:C57,$E$2:$F$4,"pr_Enrolments")</f>
        <v>insert into pr_Enrolments values ('20220731', 'CS 215', 4);</v>
      </c>
      <c r="G57">
        <v>54</v>
      </c>
    </row>
    <row r="58" spans="1:7" x14ac:dyDescent="0.15">
      <c r="A58" s="32">
        <f t="shared" si="0"/>
        <v>20227092</v>
      </c>
      <c r="B58" t="str">
        <f t="shared" si="1"/>
        <v>ENG 101</v>
      </c>
      <c r="C58" s="14">
        <f t="shared" ca="1" si="2"/>
        <v>9</v>
      </c>
      <c r="D58" t="str" cm="1">
        <f t="array" aca="1" ref="D58" ca="1">insertinto(A58:C58,$E$2:$F$4,"pr_Enrolments")</f>
        <v>insert into pr_Enrolments values ('20227092', 'ENG 101', 9);</v>
      </c>
      <c r="G58">
        <v>55</v>
      </c>
    </row>
    <row r="59" spans="1:7" x14ac:dyDescent="0.15">
      <c r="A59" s="32">
        <f t="shared" si="0"/>
        <v>20227092</v>
      </c>
      <c r="B59" t="str">
        <f t="shared" si="1"/>
        <v>CS 180</v>
      </c>
      <c r="C59" s="14">
        <f t="shared" ca="1" si="2"/>
        <v>9</v>
      </c>
      <c r="D59" t="str" cm="1">
        <f t="array" aca="1" ref="D59" ca="1">insertinto(A59:C59,$E$2:$F$4,"pr_Enrolments")</f>
        <v>insert into pr_Enrolments values ('20227092', 'CS 180', 9);</v>
      </c>
      <c r="G59">
        <v>56</v>
      </c>
    </row>
    <row r="60" spans="1:7" x14ac:dyDescent="0.15">
      <c r="A60" s="32">
        <f t="shared" si="0"/>
        <v>20227092</v>
      </c>
      <c r="B60" t="str">
        <f t="shared" si="1"/>
        <v>CS 105</v>
      </c>
      <c r="C60" s="14">
        <f t="shared" ca="1" si="2"/>
        <v>8</v>
      </c>
      <c r="D60" t="str" cm="1">
        <f t="array" aca="1" ref="D60" ca="1">insertinto(A60:C60,$E$2:$F$4,"pr_Enrolments")</f>
        <v>insert into pr_Enrolments values ('20227092', 'CS 105', 8);</v>
      </c>
      <c r="G60">
        <v>57</v>
      </c>
    </row>
    <row r="61" spans="1:7" x14ac:dyDescent="0.15">
      <c r="A61" s="32">
        <f t="shared" si="0"/>
        <v>20227092</v>
      </c>
      <c r="B61" t="str">
        <f t="shared" si="1"/>
        <v>ECO 110</v>
      </c>
      <c r="C61" s="14">
        <f t="shared" ca="1" si="2"/>
        <v>5</v>
      </c>
      <c r="D61" t="str" cm="1">
        <f t="array" aca="1" ref="D61" ca="1">insertinto(A61:C61,$E$2:$F$4,"pr_Enrolments")</f>
        <v>insert into pr_Enrolments values ('20227092', 'ECO 110', 5);</v>
      </c>
      <c r="G61">
        <v>58</v>
      </c>
    </row>
    <row r="62" spans="1:7" x14ac:dyDescent="0.15">
      <c r="A62" s="32">
        <f t="shared" si="0"/>
        <v>20227092</v>
      </c>
      <c r="B62" t="str">
        <f t="shared" si="1"/>
        <v>MATH 120</v>
      </c>
      <c r="C62" s="14">
        <f t="shared" ca="1" si="2"/>
        <v>6</v>
      </c>
      <c r="D62" t="str" cm="1">
        <f t="array" aca="1" ref="D62" ca="1">insertinto(A62:C62,$E$2:$F$4,"pr_Enrolments")</f>
        <v>insert into pr_Enrolments values ('20227092', 'MATH 120', 6);</v>
      </c>
      <c r="G62">
        <v>59</v>
      </c>
    </row>
    <row r="63" spans="1:7" x14ac:dyDescent="0.15">
      <c r="A63" s="32">
        <f t="shared" si="0"/>
        <v>20227092</v>
      </c>
      <c r="B63" t="str">
        <f t="shared" si="1"/>
        <v>ENG 102</v>
      </c>
      <c r="C63" s="14">
        <f t="shared" ca="1" si="2"/>
        <v>9</v>
      </c>
      <c r="D63" t="str" cm="1">
        <f t="array" aca="1" ref="D63" ca="1">insertinto(A63:C63,$E$2:$F$4,"pr_Enrolments")</f>
        <v>insert into pr_Enrolments values ('20227092', 'ENG 102', 9);</v>
      </c>
      <c r="G63">
        <v>60</v>
      </c>
    </row>
    <row r="64" spans="1:7" x14ac:dyDescent="0.15">
      <c r="A64" s="32">
        <f t="shared" si="0"/>
        <v>20227092</v>
      </c>
      <c r="B64" t="str">
        <f t="shared" si="1"/>
        <v>CS 106</v>
      </c>
      <c r="C64" s="14">
        <f t="shared" ca="1" si="2"/>
        <v>1</v>
      </c>
      <c r="D64" t="str" cm="1">
        <f t="array" aca="1" ref="D64" ca="1">insertinto(A64:C64,$E$2:$F$4,"pr_Enrolments")</f>
        <v>insert into pr_Enrolments values ('20227092', 'CS 106', 1);</v>
      </c>
      <c r="G64">
        <v>61</v>
      </c>
    </row>
    <row r="65" spans="1:7" x14ac:dyDescent="0.15">
      <c r="A65" s="32">
        <f t="shared" si="0"/>
        <v>20227092</v>
      </c>
      <c r="B65" t="str">
        <f t="shared" si="1"/>
        <v>CS 107</v>
      </c>
      <c r="C65" s="14">
        <f t="shared" ca="1" si="2"/>
        <v>8</v>
      </c>
      <c r="D65" t="str" cm="1">
        <f t="array" aca="1" ref="D65" ca="1">insertinto(A65:C65,$E$2:$F$4,"pr_Enrolments")</f>
        <v>insert into pr_Enrolments values ('20227092', 'CS 107', 8);</v>
      </c>
      <c r="G65">
        <v>62</v>
      </c>
    </row>
    <row r="66" spans="1:7" x14ac:dyDescent="0.15">
      <c r="A66" s="32">
        <f t="shared" ref="A66:A129" si="3">INDEX($H$3:$H$22,INT(G67/14)+1)</f>
        <v>20227092</v>
      </c>
      <c r="B66" t="str">
        <f t="shared" ref="B66:B129" si="4">INDEX($I$3:$I$16,MOD(G67,14)+1)</f>
        <v>ART 120</v>
      </c>
      <c r="C66" s="14">
        <f t="shared" ca="1" si="2"/>
        <v>5</v>
      </c>
      <c r="D66" t="str" cm="1">
        <f t="array" aca="1" ref="D66" ca="1">insertinto(A66:C66,$E$2:$F$4,"pr_Enrolments")</f>
        <v>insert into pr_Enrolments values ('20227092', 'ART 120', 5);</v>
      </c>
      <c r="G66">
        <v>63</v>
      </c>
    </row>
    <row r="67" spans="1:7" x14ac:dyDescent="0.15">
      <c r="A67" s="32">
        <f t="shared" si="3"/>
        <v>20227092</v>
      </c>
      <c r="B67" t="str">
        <f t="shared" si="4"/>
        <v>HIS 120</v>
      </c>
      <c r="C67" s="14">
        <f t="shared" ref="C67:C130" ca="1" si="5">RANDBETWEEN(1,10)</f>
        <v>2</v>
      </c>
      <c r="D67" t="str" cm="1">
        <f t="array" aca="1" ref="D67" ca="1">insertinto(A67:C67,$E$2:$F$4,"pr_Enrolments")</f>
        <v>insert into pr_Enrolments values ('20227092', 'HIS 120', 2);</v>
      </c>
      <c r="G67">
        <v>64</v>
      </c>
    </row>
    <row r="68" spans="1:7" x14ac:dyDescent="0.15">
      <c r="A68" s="32">
        <f t="shared" si="3"/>
        <v>20227092</v>
      </c>
      <c r="B68" t="str">
        <f t="shared" si="4"/>
        <v>PHIL 101</v>
      </c>
      <c r="C68" s="14">
        <f t="shared" ca="1" si="5"/>
        <v>5</v>
      </c>
      <c r="D68" t="str" cm="1">
        <f t="array" aca="1" ref="D68" ca="1">insertinto(A68:C68,$E$2:$F$4,"pr_Enrolments")</f>
        <v>insert into pr_Enrolments values ('20227092', 'PHIL 101', 5);</v>
      </c>
      <c r="G68">
        <v>65</v>
      </c>
    </row>
    <row r="69" spans="1:7" x14ac:dyDescent="0.15">
      <c r="A69" s="32">
        <f t="shared" si="3"/>
        <v>20227092</v>
      </c>
      <c r="B69" t="str">
        <f t="shared" si="4"/>
        <v>POL 101</v>
      </c>
      <c r="C69" s="14">
        <f t="shared" ca="1" si="5"/>
        <v>10</v>
      </c>
      <c r="D69" t="str" cm="1">
        <f t="array" aca="1" ref="D69" ca="1">insertinto(A69:C69,$E$2:$F$4,"pr_Enrolments")</f>
        <v>insert into pr_Enrolments values ('20227092', 'POL 101', 10);</v>
      </c>
      <c r="G69">
        <v>66</v>
      </c>
    </row>
    <row r="70" spans="1:7" x14ac:dyDescent="0.15">
      <c r="A70" s="32">
        <f t="shared" si="3"/>
        <v>20227092</v>
      </c>
      <c r="B70" t="str">
        <f t="shared" si="4"/>
        <v>CS 205</v>
      </c>
      <c r="C70" s="14">
        <f t="shared" ca="1" si="5"/>
        <v>8</v>
      </c>
      <c r="D70" t="str" cm="1">
        <f t="array" aca="1" ref="D70" ca="1">insertinto(A70:C70,$E$2:$F$4,"pr_Enrolments")</f>
        <v>insert into pr_Enrolments values ('20227092', 'CS 205', 8);</v>
      </c>
      <c r="G70">
        <v>67</v>
      </c>
    </row>
    <row r="71" spans="1:7" x14ac:dyDescent="0.15">
      <c r="A71" s="32">
        <f t="shared" si="3"/>
        <v>20227092</v>
      </c>
      <c r="B71" t="str">
        <f t="shared" si="4"/>
        <v>CS 215</v>
      </c>
      <c r="C71" s="14">
        <f t="shared" ca="1" si="5"/>
        <v>1</v>
      </c>
      <c r="D71" t="str" cm="1">
        <f t="array" aca="1" ref="D71" ca="1">insertinto(A71:C71,$E$2:$F$4,"pr_Enrolments")</f>
        <v>insert into pr_Enrolments values ('20227092', 'CS 215', 1);</v>
      </c>
      <c r="G71">
        <v>68</v>
      </c>
    </row>
    <row r="72" spans="1:7" x14ac:dyDescent="0.15">
      <c r="A72" s="32">
        <f t="shared" si="3"/>
        <v>20226184</v>
      </c>
      <c r="B72" t="str">
        <f t="shared" si="4"/>
        <v>ENG 101</v>
      </c>
      <c r="C72" s="14">
        <f t="shared" ca="1" si="5"/>
        <v>2</v>
      </c>
      <c r="D72" t="str" cm="1">
        <f t="array" aca="1" ref="D72" ca="1">insertinto(A72:C72,$E$2:$F$4,"pr_Enrolments")</f>
        <v>insert into pr_Enrolments values ('20226184', 'ENG 101', 2);</v>
      </c>
      <c r="G72">
        <v>69</v>
      </c>
    </row>
    <row r="73" spans="1:7" x14ac:dyDescent="0.15">
      <c r="A73" s="32">
        <f t="shared" si="3"/>
        <v>20226184</v>
      </c>
      <c r="B73" t="str">
        <f t="shared" si="4"/>
        <v>CS 180</v>
      </c>
      <c r="C73" s="14">
        <f t="shared" ca="1" si="5"/>
        <v>9</v>
      </c>
      <c r="D73" t="str" cm="1">
        <f t="array" aca="1" ref="D73" ca="1">insertinto(A73:C73,$E$2:$F$4,"pr_Enrolments")</f>
        <v>insert into pr_Enrolments values ('20226184', 'CS 180', 9);</v>
      </c>
      <c r="G73">
        <v>70</v>
      </c>
    </row>
    <row r="74" spans="1:7" x14ac:dyDescent="0.15">
      <c r="A74" s="32">
        <f t="shared" si="3"/>
        <v>20226184</v>
      </c>
      <c r="B74" t="str">
        <f t="shared" si="4"/>
        <v>CS 105</v>
      </c>
      <c r="C74" s="14">
        <f t="shared" ca="1" si="5"/>
        <v>8</v>
      </c>
      <c r="D74" t="str" cm="1">
        <f t="array" aca="1" ref="D74" ca="1">insertinto(A74:C74,$E$2:$F$4,"pr_Enrolments")</f>
        <v>insert into pr_Enrolments values ('20226184', 'CS 105', 8);</v>
      </c>
      <c r="G74">
        <v>71</v>
      </c>
    </row>
    <row r="75" spans="1:7" x14ac:dyDescent="0.15">
      <c r="A75" s="32">
        <f t="shared" si="3"/>
        <v>20226184</v>
      </c>
      <c r="B75" t="str">
        <f t="shared" si="4"/>
        <v>ECO 110</v>
      </c>
      <c r="C75" s="14">
        <f t="shared" ca="1" si="5"/>
        <v>7</v>
      </c>
      <c r="D75" t="str" cm="1">
        <f t="array" aca="1" ref="D75" ca="1">insertinto(A75:C75,$E$2:$F$4,"pr_Enrolments")</f>
        <v>insert into pr_Enrolments values ('20226184', 'ECO 110', 7);</v>
      </c>
      <c r="G75">
        <v>72</v>
      </c>
    </row>
    <row r="76" spans="1:7" x14ac:dyDescent="0.15">
      <c r="A76" s="32">
        <f t="shared" si="3"/>
        <v>20226184</v>
      </c>
      <c r="B76" t="str">
        <f t="shared" si="4"/>
        <v>MATH 120</v>
      </c>
      <c r="C76" s="14">
        <f t="shared" ca="1" si="5"/>
        <v>7</v>
      </c>
      <c r="D76" t="str" cm="1">
        <f t="array" aca="1" ref="D76" ca="1">insertinto(A76:C76,$E$2:$F$4,"pr_Enrolments")</f>
        <v>insert into pr_Enrolments values ('20226184', 'MATH 120', 7);</v>
      </c>
      <c r="G76">
        <v>73</v>
      </c>
    </row>
    <row r="77" spans="1:7" x14ac:dyDescent="0.15">
      <c r="A77" s="32">
        <f t="shared" si="3"/>
        <v>20226184</v>
      </c>
      <c r="B77" t="str">
        <f t="shared" si="4"/>
        <v>ENG 102</v>
      </c>
      <c r="C77" s="14">
        <f t="shared" ca="1" si="5"/>
        <v>8</v>
      </c>
      <c r="D77" t="str" cm="1">
        <f t="array" aca="1" ref="D77" ca="1">insertinto(A77:C77,$E$2:$F$4,"pr_Enrolments")</f>
        <v>insert into pr_Enrolments values ('20226184', 'ENG 102', 8);</v>
      </c>
      <c r="G77">
        <v>74</v>
      </c>
    </row>
    <row r="78" spans="1:7" x14ac:dyDescent="0.15">
      <c r="A78" s="32">
        <f t="shared" si="3"/>
        <v>20226184</v>
      </c>
      <c r="B78" t="str">
        <f t="shared" si="4"/>
        <v>CS 106</v>
      </c>
      <c r="C78" s="14">
        <f t="shared" ca="1" si="5"/>
        <v>1</v>
      </c>
      <c r="D78" t="str" cm="1">
        <f t="array" aca="1" ref="D78" ca="1">insertinto(A78:C78,$E$2:$F$4,"pr_Enrolments")</f>
        <v>insert into pr_Enrolments values ('20226184', 'CS 106', 1);</v>
      </c>
      <c r="G78">
        <v>75</v>
      </c>
    </row>
    <row r="79" spans="1:7" x14ac:dyDescent="0.15">
      <c r="A79" s="32">
        <f t="shared" si="3"/>
        <v>20226184</v>
      </c>
      <c r="B79" t="str">
        <f t="shared" si="4"/>
        <v>CS 107</v>
      </c>
      <c r="C79" s="14">
        <f t="shared" ca="1" si="5"/>
        <v>5</v>
      </c>
      <c r="D79" t="str" cm="1">
        <f t="array" aca="1" ref="D79" ca="1">insertinto(A79:C79,$E$2:$F$4,"pr_Enrolments")</f>
        <v>insert into pr_Enrolments values ('20226184', 'CS 107', 5);</v>
      </c>
      <c r="G79">
        <v>76</v>
      </c>
    </row>
    <row r="80" spans="1:7" x14ac:dyDescent="0.15">
      <c r="A80" s="32">
        <f t="shared" si="3"/>
        <v>20226184</v>
      </c>
      <c r="B80" t="str">
        <f t="shared" si="4"/>
        <v>ART 120</v>
      </c>
      <c r="C80" s="14">
        <f t="shared" ca="1" si="5"/>
        <v>2</v>
      </c>
      <c r="D80" t="str" cm="1">
        <f t="array" aca="1" ref="D80" ca="1">insertinto(A80:C80,$E$2:$F$4,"pr_Enrolments")</f>
        <v>insert into pr_Enrolments values ('20226184', 'ART 120', 2);</v>
      </c>
      <c r="G80">
        <v>77</v>
      </c>
    </row>
    <row r="81" spans="1:7" x14ac:dyDescent="0.15">
      <c r="A81" s="32">
        <f t="shared" si="3"/>
        <v>20226184</v>
      </c>
      <c r="B81" t="str">
        <f t="shared" si="4"/>
        <v>HIS 120</v>
      </c>
      <c r="C81" s="14">
        <f t="shared" ca="1" si="5"/>
        <v>8</v>
      </c>
      <c r="D81" t="str" cm="1">
        <f t="array" aca="1" ref="D81" ca="1">insertinto(A81:C81,$E$2:$F$4,"pr_Enrolments")</f>
        <v>insert into pr_Enrolments values ('20226184', 'HIS 120', 8);</v>
      </c>
      <c r="G81">
        <v>78</v>
      </c>
    </row>
    <row r="82" spans="1:7" x14ac:dyDescent="0.15">
      <c r="A82" s="32">
        <f t="shared" si="3"/>
        <v>20226184</v>
      </c>
      <c r="B82" t="str">
        <f t="shared" si="4"/>
        <v>PHIL 101</v>
      </c>
      <c r="C82" s="14">
        <f t="shared" ca="1" si="5"/>
        <v>4</v>
      </c>
      <c r="D82" t="str" cm="1">
        <f t="array" aca="1" ref="D82" ca="1">insertinto(A82:C82,$E$2:$F$4,"pr_Enrolments")</f>
        <v>insert into pr_Enrolments values ('20226184', 'PHIL 101', 4);</v>
      </c>
      <c r="G82">
        <v>79</v>
      </c>
    </row>
    <row r="83" spans="1:7" x14ac:dyDescent="0.15">
      <c r="A83" s="32">
        <f t="shared" si="3"/>
        <v>20226184</v>
      </c>
      <c r="B83" t="str">
        <f t="shared" si="4"/>
        <v>POL 101</v>
      </c>
      <c r="C83" s="14">
        <f t="shared" ca="1" si="5"/>
        <v>8</v>
      </c>
      <c r="D83" t="str" cm="1">
        <f t="array" aca="1" ref="D83" ca="1">insertinto(A83:C83,$E$2:$F$4,"pr_Enrolments")</f>
        <v>insert into pr_Enrolments values ('20226184', 'POL 101', 8);</v>
      </c>
      <c r="G83">
        <v>80</v>
      </c>
    </row>
    <row r="84" spans="1:7" x14ac:dyDescent="0.15">
      <c r="A84" s="32">
        <f t="shared" si="3"/>
        <v>20226184</v>
      </c>
      <c r="B84" t="str">
        <f t="shared" si="4"/>
        <v>CS 205</v>
      </c>
      <c r="C84" s="14">
        <f t="shared" ca="1" si="5"/>
        <v>9</v>
      </c>
      <c r="D84" t="str" cm="1">
        <f t="array" aca="1" ref="D84" ca="1">insertinto(A84:C84,$E$2:$F$4,"pr_Enrolments")</f>
        <v>insert into pr_Enrolments values ('20226184', 'CS 205', 9);</v>
      </c>
      <c r="G84">
        <v>81</v>
      </c>
    </row>
    <row r="85" spans="1:7" x14ac:dyDescent="0.15">
      <c r="A85" s="32">
        <f t="shared" si="3"/>
        <v>20226184</v>
      </c>
      <c r="B85" t="str">
        <f t="shared" si="4"/>
        <v>CS 215</v>
      </c>
      <c r="C85" s="14">
        <f t="shared" ca="1" si="5"/>
        <v>1</v>
      </c>
      <c r="D85" t="str" cm="1">
        <f t="array" aca="1" ref="D85" ca="1">insertinto(A85:C85,$E$2:$F$4,"pr_Enrolments")</f>
        <v>insert into pr_Enrolments values ('20226184', 'CS 215', 1);</v>
      </c>
      <c r="G85">
        <v>82</v>
      </c>
    </row>
    <row r="86" spans="1:7" x14ac:dyDescent="0.15">
      <c r="A86" s="32">
        <f t="shared" si="3"/>
        <v>20229558</v>
      </c>
      <c r="B86" t="str">
        <f t="shared" si="4"/>
        <v>ENG 101</v>
      </c>
      <c r="C86" s="14">
        <f t="shared" ca="1" si="5"/>
        <v>8</v>
      </c>
      <c r="D86" t="str" cm="1">
        <f t="array" aca="1" ref="D86" ca="1">insertinto(A86:C86,$E$2:$F$4,"pr_Enrolments")</f>
        <v>insert into pr_Enrolments values ('20229558', 'ENG 101', 8);</v>
      </c>
      <c r="G86">
        <v>83</v>
      </c>
    </row>
    <row r="87" spans="1:7" x14ac:dyDescent="0.15">
      <c r="A87" s="32">
        <f t="shared" si="3"/>
        <v>20229558</v>
      </c>
      <c r="B87" t="str">
        <f t="shared" si="4"/>
        <v>CS 180</v>
      </c>
      <c r="C87" s="14">
        <f t="shared" ca="1" si="5"/>
        <v>7</v>
      </c>
      <c r="D87" t="str" cm="1">
        <f t="array" aca="1" ref="D87" ca="1">insertinto(A87:C87,$E$2:$F$4,"pr_Enrolments")</f>
        <v>insert into pr_Enrolments values ('20229558', 'CS 180', 7);</v>
      </c>
      <c r="G87">
        <v>84</v>
      </c>
    </row>
    <row r="88" spans="1:7" x14ac:dyDescent="0.15">
      <c r="A88" s="32">
        <f t="shared" si="3"/>
        <v>20229558</v>
      </c>
      <c r="B88" t="str">
        <f t="shared" si="4"/>
        <v>CS 105</v>
      </c>
      <c r="C88" s="14">
        <f t="shared" ca="1" si="5"/>
        <v>3</v>
      </c>
      <c r="D88" t="str" cm="1">
        <f t="array" aca="1" ref="D88" ca="1">insertinto(A88:C88,$E$2:$F$4,"pr_Enrolments")</f>
        <v>insert into pr_Enrolments values ('20229558', 'CS 105', 3);</v>
      </c>
      <c r="G88">
        <v>85</v>
      </c>
    </row>
    <row r="89" spans="1:7" x14ac:dyDescent="0.15">
      <c r="A89" s="32">
        <f t="shared" si="3"/>
        <v>20229558</v>
      </c>
      <c r="B89" t="str">
        <f t="shared" si="4"/>
        <v>ECO 110</v>
      </c>
      <c r="C89" s="14">
        <f t="shared" ca="1" si="5"/>
        <v>3</v>
      </c>
      <c r="D89" t="str" cm="1">
        <f t="array" aca="1" ref="D89" ca="1">insertinto(A89:C89,$E$2:$F$4,"pr_Enrolments")</f>
        <v>insert into pr_Enrolments values ('20229558', 'ECO 110', 3);</v>
      </c>
      <c r="G89">
        <v>86</v>
      </c>
    </row>
    <row r="90" spans="1:7" x14ac:dyDescent="0.15">
      <c r="A90" s="32">
        <f t="shared" si="3"/>
        <v>20229558</v>
      </c>
      <c r="B90" t="str">
        <f t="shared" si="4"/>
        <v>MATH 120</v>
      </c>
      <c r="C90" s="14">
        <f t="shared" ca="1" si="5"/>
        <v>1</v>
      </c>
      <c r="D90" t="str" cm="1">
        <f t="array" aca="1" ref="D90" ca="1">insertinto(A90:C90,$E$2:$F$4,"pr_Enrolments")</f>
        <v>insert into pr_Enrolments values ('20229558', 'MATH 120', 1);</v>
      </c>
      <c r="G90">
        <v>87</v>
      </c>
    </row>
    <row r="91" spans="1:7" x14ac:dyDescent="0.15">
      <c r="A91" s="32">
        <f t="shared" si="3"/>
        <v>20229558</v>
      </c>
      <c r="B91" t="str">
        <f t="shared" si="4"/>
        <v>ENG 102</v>
      </c>
      <c r="C91" s="14">
        <f t="shared" ca="1" si="5"/>
        <v>10</v>
      </c>
      <c r="D91" t="str" cm="1">
        <f t="array" aca="1" ref="D91" ca="1">insertinto(A91:C91,$E$2:$F$4,"pr_Enrolments")</f>
        <v>insert into pr_Enrolments values ('20229558', 'ENG 102', 10);</v>
      </c>
      <c r="G91">
        <v>88</v>
      </c>
    </row>
    <row r="92" spans="1:7" x14ac:dyDescent="0.15">
      <c r="A92" s="32">
        <f t="shared" si="3"/>
        <v>20229558</v>
      </c>
      <c r="B92" t="str">
        <f t="shared" si="4"/>
        <v>CS 106</v>
      </c>
      <c r="C92" s="14">
        <f t="shared" ca="1" si="5"/>
        <v>10</v>
      </c>
      <c r="D92" t="str" cm="1">
        <f t="array" aca="1" ref="D92" ca="1">insertinto(A92:C92,$E$2:$F$4,"pr_Enrolments")</f>
        <v>insert into pr_Enrolments values ('20229558', 'CS 106', 10);</v>
      </c>
      <c r="G92">
        <v>89</v>
      </c>
    </row>
    <row r="93" spans="1:7" x14ac:dyDescent="0.15">
      <c r="A93" s="32">
        <f t="shared" si="3"/>
        <v>20229558</v>
      </c>
      <c r="B93" t="str">
        <f t="shared" si="4"/>
        <v>CS 107</v>
      </c>
      <c r="C93" s="14">
        <f t="shared" ca="1" si="5"/>
        <v>5</v>
      </c>
      <c r="D93" t="str" cm="1">
        <f t="array" aca="1" ref="D93" ca="1">insertinto(A93:C93,$E$2:$F$4,"pr_Enrolments")</f>
        <v>insert into pr_Enrolments values ('20229558', 'CS 107', 5);</v>
      </c>
      <c r="G93">
        <v>90</v>
      </c>
    </row>
    <row r="94" spans="1:7" x14ac:dyDescent="0.15">
      <c r="A94" s="32">
        <f t="shared" si="3"/>
        <v>20229558</v>
      </c>
      <c r="B94" t="str">
        <f t="shared" si="4"/>
        <v>ART 120</v>
      </c>
      <c r="C94" s="14">
        <f t="shared" ca="1" si="5"/>
        <v>4</v>
      </c>
      <c r="D94" t="str" cm="1">
        <f t="array" aca="1" ref="D94" ca="1">insertinto(A94:C94,$E$2:$F$4,"pr_Enrolments")</f>
        <v>insert into pr_Enrolments values ('20229558', 'ART 120', 4);</v>
      </c>
      <c r="G94">
        <v>91</v>
      </c>
    </row>
    <row r="95" spans="1:7" x14ac:dyDescent="0.15">
      <c r="A95" s="32">
        <f t="shared" si="3"/>
        <v>20229558</v>
      </c>
      <c r="B95" t="str">
        <f t="shared" si="4"/>
        <v>HIS 120</v>
      </c>
      <c r="C95" s="14">
        <f t="shared" ca="1" si="5"/>
        <v>3</v>
      </c>
      <c r="D95" t="str" cm="1">
        <f t="array" aca="1" ref="D95" ca="1">insertinto(A95:C95,$E$2:$F$4,"pr_Enrolments")</f>
        <v>insert into pr_Enrolments values ('20229558', 'HIS 120', 3);</v>
      </c>
      <c r="G95">
        <v>92</v>
      </c>
    </row>
    <row r="96" spans="1:7" x14ac:dyDescent="0.15">
      <c r="A96" s="32">
        <f t="shared" si="3"/>
        <v>20229558</v>
      </c>
      <c r="B96" t="str">
        <f t="shared" si="4"/>
        <v>PHIL 101</v>
      </c>
      <c r="C96" s="14">
        <f t="shared" ca="1" si="5"/>
        <v>6</v>
      </c>
      <c r="D96" t="str" cm="1">
        <f t="array" aca="1" ref="D96" ca="1">insertinto(A96:C96,$E$2:$F$4,"pr_Enrolments")</f>
        <v>insert into pr_Enrolments values ('20229558', 'PHIL 101', 6);</v>
      </c>
      <c r="G96">
        <v>93</v>
      </c>
    </row>
    <row r="97" spans="1:7" x14ac:dyDescent="0.15">
      <c r="A97" s="32">
        <f t="shared" si="3"/>
        <v>20229558</v>
      </c>
      <c r="B97" t="str">
        <f t="shared" si="4"/>
        <v>POL 101</v>
      </c>
      <c r="C97" s="14">
        <f t="shared" ca="1" si="5"/>
        <v>3</v>
      </c>
      <c r="D97" t="str" cm="1">
        <f t="array" aca="1" ref="D97" ca="1">insertinto(A97:C97,$E$2:$F$4,"pr_Enrolments")</f>
        <v>insert into pr_Enrolments values ('20229558', 'POL 101', 3);</v>
      </c>
      <c r="G97">
        <v>94</v>
      </c>
    </row>
    <row r="98" spans="1:7" x14ac:dyDescent="0.15">
      <c r="A98" s="32">
        <f t="shared" si="3"/>
        <v>20229558</v>
      </c>
      <c r="B98" t="str">
        <f t="shared" si="4"/>
        <v>CS 205</v>
      </c>
      <c r="C98" s="14">
        <f t="shared" ca="1" si="5"/>
        <v>9</v>
      </c>
      <c r="D98" t="str" cm="1">
        <f t="array" aca="1" ref="D98" ca="1">insertinto(A98:C98,$E$2:$F$4,"pr_Enrolments")</f>
        <v>insert into pr_Enrolments values ('20229558', 'CS 205', 9);</v>
      </c>
      <c r="G98">
        <v>95</v>
      </c>
    </row>
    <row r="99" spans="1:7" x14ac:dyDescent="0.15">
      <c r="A99" s="32">
        <f t="shared" si="3"/>
        <v>20229558</v>
      </c>
      <c r="B99" t="str">
        <f t="shared" si="4"/>
        <v>CS 215</v>
      </c>
      <c r="C99" s="14">
        <f t="shared" ca="1" si="5"/>
        <v>10</v>
      </c>
      <c r="D99" t="str" cm="1">
        <f t="array" aca="1" ref="D99" ca="1">insertinto(A99:C99,$E$2:$F$4,"pr_Enrolments")</f>
        <v>insert into pr_Enrolments values ('20229558', 'CS 215', 10);</v>
      </c>
      <c r="G99">
        <v>96</v>
      </c>
    </row>
    <row r="100" spans="1:7" x14ac:dyDescent="0.15">
      <c r="A100" s="32">
        <f t="shared" si="3"/>
        <v>20228839</v>
      </c>
      <c r="B100" t="str">
        <f t="shared" si="4"/>
        <v>ENG 101</v>
      </c>
      <c r="C100" s="14">
        <f t="shared" ca="1" si="5"/>
        <v>4</v>
      </c>
      <c r="D100" t="str" cm="1">
        <f t="array" aca="1" ref="D100" ca="1">insertinto(A100:C100,$E$2:$F$4,"pr_Enrolments")</f>
        <v>insert into pr_Enrolments values ('20228839', 'ENG 101', 4);</v>
      </c>
      <c r="G100">
        <v>97</v>
      </c>
    </row>
    <row r="101" spans="1:7" x14ac:dyDescent="0.15">
      <c r="A101" s="32">
        <f t="shared" si="3"/>
        <v>20228839</v>
      </c>
      <c r="B101" t="str">
        <f t="shared" si="4"/>
        <v>CS 180</v>
      </c>
      <c r="C101" s="14">
        <f t="shared" ca="1" si="5"/>
        <v>3</v>
      </c>
      <c r="D101" t="str" cm="1">
        <f t="array" aca="1" ref="D101" ca="1">insertinto(A101:C101,$E$2:$F$4,"pr_Enrolments")</f>
        <v>insert into pr_Enrolments values ('20228839', 'CS 180', 3);</v>
      </c>
      <c r="G101">
        <v>98</v>
      </c>
    </row>
    <row r="102" spans="1:7" x14ac:dyDescent="0.15">
      <c r="A102" s="32">
        <f t="shared" si="3"/>
        <v>20228839</v>
      </c>
      <c r="B102" t="str">
        <f t="shared" si="4"/>
        <v>CS 105</v>
      </c>
      <c r="C102" s="14">
        <f t="shared" ca="1" si="5"/>
        <v>2</v>
      </c>
      <c r="D102" t="str" cm="1">
        <f t="array" aca="1" ref="D102" ca="1">insertinto(A102:C102,$E$2:$F$4,"pr_Enrolments")</f>
        <v>insert into pr_Enrolments values ('20228839', 'CS 105', 2);</v>
      </c>
      <c r="G102">
        <v>99</v>
      </c>
    </row>
    <row r="103" spans="1:7" x14ac:dyDescent="0.15">
      <c r="A103" s="32">
        <f t="shared" si="3"/>
        <v>20228839</v>
      </c>
      <c r="B103" t="str">
        <f t="shared" si="4"/>
        <v>ECO 110</v>
      </c>
      <c r="C103" s="14">
        <f t="shared" ca="1" si="5"/>
        <v>5</v>
      </c>
      <c r="D103" t="str" cm="1">
        <f t="array" aca="1" ref="D103" ca="1">insertinto(A103:C103,$E$2:$F$4,"pr_Enrolments")</f>
        <v>insert into pr_Enrolments values ('20228839', 'ECO 110', 5);</v>
      </c>
      <c r="G103">
        <v>100</v>
      </c>
    </row>
    <row r="104" spans="1:7" x14ac:dyDescent="0.15">
      <c r="A104" s="32">
        <f t="shared" si="3"/>
        <v>20228839</v>
      </c>
      <c r="B104" t="str">
        <f t="shared" si="4"/>
        <v>MATH 120</v>
      </c>
      <c r="C104" s="14">
        <f t="shared" ca="1" si="5"/>
        <v>10</v>
      </c>
      <c r="D104" t="str" cm="1">
        <f t="array" aca="1" ref="D104" ca="1">insertinto(A104:C104,$E$2:$F$4,"pr_Enrolments")</f>
        <v>insert into pr_Enrolments values ('20228839', 'MATH 120', 10);</v>
      </c>
      <c r="G104">
        <v>101</v>
      </c>
    </row>
    <row r="105" spans="1:7" x14ac:dyDescent="0.15">
      <c r="A105" s="32">
        <f t="shared" si="3"/>
        <v>20228839</v>
      </c>
      <c r="B105" t="str">
        <f t="shared" si="4"/>
        <v>ENG 102</v>
      </c>
      <c r="C105" s="14">
        <f t="shared" ca="1" si="5"/>
        <v>8</v>
      </c>
      <c r="D105" t="str" cm="1">
        <f t="array" aca="1" ref="D105" ca="1">insertinto(A105:C105,$E$2:$F$4,"pr_Enrolments")</f>
        <v>insert into pr_Enrolments values ('20228839', 'ENG 102', 8);</v>
      </c>
      <c r="G105">
        <v>102</v>
      </c>
    </row>
    <row r="106" spans="1:7" x14ac:dyDescent="0.15">
      <c r="A106" s="32">
        <f t="shared" si="3"/>
        <v>20228839</v>
      </c>
      <c r="B106" t="str">
        <f t="shared" si="4"/>
        <v>CS 106</v>
      </c>
      <c r="C106" s="14">
        <f t="shared" ca="1" si="5"/>
        <v>5</v>
      </c>
      <c r="D106" t="str" cm="1">
        <f t="array" aca="1" ref="D106" ca="1">insertinto(A106:C106,$E$2:$F$4,"pr_Enrolments")</f>
        <v>insert into pr_Enrolments values ('20228839', 'CS 106', 5);</v>
      </c>
      <c r="G106">
        <v>103</v>
      </c>
    </row>
    <row r="107" spans="1:7" x14ac:dyDescent="0.15">
      <c r="A107" s="32">
        <f t="shared" si="3"/>
        <v>20228839</v>
      </c>
      <c r="B107" t="str">
        <f t="shared" si="4"/>
        <v>CS 107</v>
      </c>
      <c r="C107" s="14">
        <f t="shared" ca="1" si="5"/>
        <v>2</v>
      </c>
      <c r="D107" t="str" cm="1">
        <f t="array" aca="1" ref="D107" ca="1">insertinto(A107:C107,$E$2:$F$4,"pr_Enrolments")</f>
        <v>insert into pr_Enrolments values ('20228839', 'CS 107', 2);</v>
      </c>
      <c r="G107">
        <v>104</v>
      </c>
    </row>
    <row r="108" spans="1:7" x14ac:dyDescent="0.15">
      <c r="A108" s="32">
        <f t="shared" si="3"/>
        <v>20228839</v>
      </c>
      <c r="B108" t="str">
        <f t="shared" si="4"/>
        <v>ART 120</v>
      </c>
      <c r="C108" s="14">
        <f t="shared" ca="1" si="5"/>
        <v>4</v>
      </c>
      <c r="D108" t="str" cm="1">
        <f t="array" aca="1" ref="D108" ca="1">insertinto(A108:C108,$E$2:$F$4,"pr_Enrolments")</f>
        <v>insert into pr_Enrolments values ('20228839', 'ART 120', 4);</v>
      </c>
      <c r="G108">
        <v>105</v>
      </c>
    </row>
    <row r="109" spans="1:7" x14ac:dyDescent="0.15">
      <c r="A109" s="32">
        <f t="shared" si="3"/>
        <v>20228839</v>
      </c>
      <c r="B109" t="str">
        <f t="shared" si="4"/>
        <v>HIS 120</v>
      </c>
      <c r="C109" s="14">
        <f t="shared" ca="1" si="5"/>
        <v>1</v>
      </c>
      <c r="D109" t="str" cm="1">
        <f t="array" aca="1" ref="D109" ca="1">insertinto(A109:C109,$E$2:$F$4,"pr_Enrolments")</f>
        <v>insert into pr_Enrolments values ('20228839', 'HIS 120', 1);</v>
      </c>
      <c r="G109">
        <v>106</v>
      </c>
    </row>
    <row r="110" spans="1:7" x14ac:dyDescent="0.15">
      <c r="A110" s="32">
        <f t="shared" si="3"/>
        <v>20228839</v>
      </c>
      <c r="B110" t="str">
        <f t="shared" si="4"/>
        <v>PHIL 101</v>
      </c>
      <c r="C110" s="14">
        <f t="shared" ca="1" si="5"/>
        <v>4</v>
      </c>
      <c r="D110" t="str" cm="1">
        <f t="array" aca="1" ref="D110" ca="1">insertinto(A110:C110,$E$2:$F$4,"pr_Enrolments")</f>
        <v>insert into pr_Enrolments values ('20228839', 'PHIL 101', 4);</v>
      </c>
      <c r="G110">
        <v>107</v>
      </c>
    </row>
    <row r="111" spans="1:7" x14ac:dyDescent="0.15">
      <c r="A111" s="32">
        <f t="shared" si="3"/>
        <v>20228839</v>
      </c>
      <c r="B111" t="str">
        <f t="shared" si="4"/>
        <v>POL 101</v>
      </c>
      <c r="C111" s="14">
        <f t="shared" ca="1" si="5"/>
        <v>8</v>
      </c>
      <c r="D111" t="str" cm="1">
        <f t="array" aca="1" ref="D111" ca="1">insertinto(A111:C111,$E$2:$F$4,"pr_Enrolments")</f>
        <v>insert into pr_Enrolments values ('20228839', 'POL 101', 8);</v>
      </c>
      <c r="G111">
        <v>108</v>
      </c>
    </row>
    <row r="112" spans="1:7" x14ac:dyDescent="0.15">
      <c r="A112" s="32">
        <f t="shared" si="3"/>
        <v>20228839</v>
      </c>
      <c r="B112" t="str">
        <f t="shared" si="4"/>
        <v>CS 205</v>
      </c>
      <c r="C112" s="14">
        <f t="shared" ca="1" si="5"/>
        <v>3</v>
      </c>
      <c r="D112" t="str" cm="1">
        <f t="array" aca="1" ref="D112" ca="1">insertinto(A112:C112,$E$2:$F$4,"pr_Enrolments")</f>
        <v>insert into pr_Enrolments values ('20228839', 'CS 205', 3);</v>
      </c>
      <c r="G112">
        <v>109</v>
      </c>
    </row>
    <row r="113" spans="1:7" x14ac:dyDescent="0.15">
      <c r="A113" s="32">
        <f t="shared" si="3"/>
        <v>20228839</v>
      </c>
      <c r="B113" t="str">
        <f t="shared" si="4"/>
        <v>CS 215</v>
      </c>
      <c r="C113" s="14">
        <f t="shared" ca="1" si="5"/>
        <v>7</v>
      </c>
      <c r="D113" t="str" cm="1">
        <f t="array" aca="1" ref="D113" ca="1">insertinto(A113:C113,$E$2:$F$4,"pr_Enrolments")</f>
        <v>insert into pr_Enrolments values ('20228839', 'CS 215', 7);</v>
      </c>
      <c r="G113">
        <v>110</v>
      </c>
    </row>
    <row r="114" spans="1:7" x14ac:dyDescent="0.15">
      <c r="A114" s="32">
        <f t="shared" si="3"/>
        <v>20227541</v>
      </c>
      <c r="B114" t="str">
        <f t="shared" si="4"/>
        <v>ENG 101</v>
      </c>
      <c r="C114" s="14">
        <f t="shared" ca="1" si="5"/>
        <v>5</v>
      </c>
      <c r="D114" t="str" cm="1">
        <f t="array" aca="1" ref="D114" ca="1">insertinto(A114:C114,$E$2:$F$4,"pr_Enrolments")</f>
        <v>insert into pr_Enrolments values ('20227541', 'ENG 101', 5);</v>
      </c>
      <c r="G114">
        <v>111</v>
      </c>
    </row>
    <row r="115" spans="1:7" x14ac:dyDescent="0.15">
      <c r="A115" s="32">
        <f t="shared" si="3"/>
        <v>20227541</v>
      </c>
      <c r="B115" t="str">
        <f t="shared" si="4"/>
        <v>CS 180</v>
      </c>
      <c r="C115" s="14">
        <f t="shared" ca="1" si="5"/>
        <v>8</v>
      </c>
      <c r="D115" t="str" cm="1">
        <f t="array" aca="1" ref="D115" ca="1">insertinto(A115:C115,$E$2:$F$4,"pr_Enrolments")</f>
        <v>insert into pr_Enrolments values ('20227541', 'CS 180', 8);</v>
      </c>
      <c r="G115">
        <v>112</v>
      </c>
    </row>
    <row r="116" spans="1:7" x14ac:dyDescent="0.15">
      <c r="A116" s="32">
        <f t="shared" si="3"/>
        <v>20227541</v>
      </c>
      <c r="B116" t="str">
        <f t="shared" si="4"/>
        <v>CS 105</v>
      </c>
      <c r="C116" s="14">
        <f t="shared" ca="1" si="5"/>
        <v>2</v>
      </c>
      <c r="D116" t="str" cm="1">
        <f t="array" aca="1" ref="D116" ca="1">insertinto(A116:C116,$E$2:$F$4,"pr_Enrolments")</f>
        <v>insert into pr_Enrolments values ('20227541', 'CS 105', 2);</v>
      </c>
      <c r="G116">
        <v>113</v>
      </c>
    </row>
    <row r="117" spans="1:7" x14ac:dyDescent="0.15">
      <c r="A117" s="32">
        <f t="shared" si="3"/>
        <v>20227541</v>
      </c>
      <c r="B117" t="str">
        <f t="shared" si="4"/>
        <v>ECO 110</v>
      </c>
      <c r="C117" s="14">
        <f t="shared" ca="1" si="5"/>
        <v>4</v>
      </c>
      <c r="D117" t="str" cm="1">
        <f t="array" aca="1" ref="D117" ca="1">insertinto(A117:C117,$E$2:$F$4,"pr_Enrolments")</f>
        <v>insert into pr_Enrolments values ('20227541', 'ECO 110', 4);</v>
      </c>
      <c r="G117">
        <v>114</v>
      </c>
    </row>
    <row r="118" spans="1:7" x14ac:dyDescent="0.15">
      <c r="A118" s="32">
        <f t="shared" si="3"/>
        <v>20227541</v>
      </c>
      <c r="B118" t="str">
        <f t="shared" si="4"/>
        <v>MATH 120</v>
      </c>
      <c r="C118" s="14">
        <f t="shared" ca="1" si="5"/>
        <v>6</v>
      </c>
      <c r="D118" t="str" cm="1">
        <f t="array" aca="1" ref="D118" ca="1">insertinto(A118:C118,$E$2:$F$4,"pr_Enrolments")</f>
        <v>insert into pr_Enrolments values ('20227541', 'MATH 120', 6);</v>
      </c>
      <c r="G118">
        <v>115</v>
      </c>
    </row>
    <row r="119" spans="1:7" x14ac:dyDescent="0.15">
      <c r="A119" s="32">
        <f t="shared" si="3"/>
        <v>20227541</v>
      </c>
      <c r="B119" t="str">
        <f t="shared" si="4"/>
        <v>ENG 102</v>
      </c>
      <c r="C119" s="14">
        <f t="shared" ca="1" si="5"/>
        <v>1</v>
      </c>
      <c r="D119" t="str" cm="1">
        <f t="array" aca="1" ref="D119" ca="1">insertinto(A119:C119,$E$2:$F$4,"pr_Enrolments")</f>
        <v>insert into pr_Enrolments values ('20227541', 'ENG 102', 1);</v>
      </c>
      <c r="G119">
        <v>116</v>
      </c>
    </row>
    <row r="120" spans="1:7" x14ac:dyDescent="0.15">
      <c r="A120" s="32">
        <f t="shared" si="3"/>
        <v>20227541</v>
      </c>
      <c r="B120" t="str">
        <f t="shared" si="4"/>
        <v>CS 106</v>
      </c>
      <c r="C120" s="14">
        <f t="shared" ca="1" si="5"/>
        <v>1</v>
      </c>
      <c r="D120" t="str" cm="1">
        <f t="array" aca="1" ref="D120" ca="1">insertinto(A120:C120,$E$2:$F$4,"pr_Enrolments")</f>
        <v>insert into pr_Enrolments values ('20227541', 'CS 106', 1);</v>
      </c>
      <c r="G120">
        <v>117</v>
      </c>
    </row>
    <row r="121" spans="1:7" x14ac:dyDescent="0.15">
      <c r="A121" s="32">
        <f t="shared" si="3"/>
        <v>20227541</v>
      </c>
      <c r="B121" t="str">
        <f t="shared" si="4"/>
        <v>CS 107</v>
      </c>
      <c r="C121" s="14">
        <f t="shared" ca="1" si="5"/>
        <v>6</v>
      </c>
      <c r="D121" t="str" cm="1">
        <f t="array" aca="1" ref="D121" ca="1">insertinto(A121:C121,$E$2:$F$4,"pr_Enrolments")</f>
        <v>insert into pr_Enrolments values ('20227541', 'CS 107', 6);</v>
      </c>
      <c r="G121">
        <v>118</v>
      </c>
    </row>
    <row r="122" spans="1:7" x14ac:dyDescent="0.15">
      <c r="A122" s="32">
        <f t="shared" si="3"/>
        <v>20227541</v>
      </c>
      <c r="B122" t="str">
        <f t="shared" si="4"/>
        <v>ART 120</v>
      </c>
      <c r="C122" s="14">
        <f t="shared" ca="1" si="5"/>
        <v>9</v>
      </c>
      <c r="D122" t="str" cm="1">
        <f t="array" aca="1" ref="D122" ca="1">insertinto(A122:C122,$E$2:$F$4,"pr_Enrolments")</f>
        <v>insert into pr_Enrolments values ('20227541', 'ART 120', 9);</v>
      </c>
      <c r="G122">
        <v>119</v>
      </c>
    </row>
    <row r="123" spans="1:7" x14ac:dyDescent="0.15">
      <c r="A123" s="32">
        <f t="shared" si="3"/>
        <v>20227541</v>
      </c>
      <c r="B123" t="str">
        <f t="shared" si="4"/>
        <v>HIS 120</v>
      </c>
      <c r="C123" s="14">
        <f t="shared" ca="1" si="5"/>
        <v>5</v>
      </c>
      <c r="D123" t="str" cm="1">
        <f t="array" aca="1" ref="D123" ca="1">insertinto(A123:C123,$E$2:$F$4,"pr_Enrolments")</f>
        <v>insert into pr_Enrolments values ('20227541', 'HIS 120', 5);</v>
      </c>
      <c r="G123">
        <v>120</v>
      </c>
    </row>
    <row r="124" spans="1:7" x14ac:dyDescent="0.15">
      <c r="A124" s="32">
        <f t="shared" si="3"/>
        <v>20227541</v>
      </c>
      <c r="B124" t="str">
        <f t="shared" si="4"/>
        <v>PHIL 101</v>
      </c>
      <c r="C124" s="14">
        <f t="shared" ca="1" si="5"/>
        <v>2</v>
      </c>
      <c r="D124" t="str" cm="1">
        <f t="array" aca="1" ref="D124" ca="1">insertinto(A124:C124,$E$2:$F$4,"pr_Enrolments")</f>
        <v>insert into pr_Enrolments values ('20227541', 'PHIL 101', 2);</v>
      </c>
      <c r="G124">
        <v>121</v>
      </c>
    </row>
    <row r="125" spans="1:7" x14ac:dyDescent="0.15">
      <c r="A125" s="32">
        <f t="shared" si="3"/>
        <v>20227541</v>
      </c>
      <c r="B125" t="str">
        <f t="shared" si="4"/>
        <v>POL 101</v>
      </c>
      <c r="C125" s="14">
        <f t="shared" ca="1" si="5"/>
        <v>8</v>
      </c>
      <c r="D125" t="str" cm="1">
        <f t="array" aca="1" ref="D125" ca="1">insertinto(A125:C125,$E$2:$F$4,"pr_Enrolments")</f>
        <v>insert into pr_Enrolments values ('20227541', 'POL 101', 8);</v>
      </c>
      <c r="G125">
        <v>122</v>
      </c>
    </row>
    <row r="126" spans="1:7" x14ac:dyDescent="0.15">
      <c r="A126" s="32">
        <f t="shared" si="3"/>
        <v>20227541</v>
      </c>
      <c r="B126" t="str">
        <f t="shared" si="4"/>
        <v>CS 205</v>
      </c>
      <c r="C126" s="14">
        <f t="shared" ca="1" si="5"/>
        <v>4</v>
      </c>
      <c r="D126" t="str" cm="1">
        <f t="array" aca="1" ref="D126" ca="1">insertinto(A126:C126,$E$2:$F$4,"pr_Enrolments")</f>
        <v>insert into pr_Enrolments values ('20227541', 'CS 205', 4);</v>
      </c>
      <c r="G126">
        <v>123</v>
      </c>
    </row>
    <row r="127" spans="1:7" x14ac:dyDescent="0.15">
      <c r="A127" s="32">
        <f t="shared" si="3"/>
        <v>20227541</v>
      </c>
      <c r="B127" t="str">
        <f t="shared" si="4"/>
        <v>CS 215</v>
      </c>
      <c r="C127" s="14">
        <f t="shared" ca="1" si="5"/>
        <v>10</v>
      </c>
      <c r="D127" t="str" cm="1">
        <f t="array" aca="1" ref="D127" ca="1">insertinto(A127:C127,$E$2:$F$4,"pr_Enrolments")</f>
        <v>insert into pr_Enrolments values ('20227541', 'CS 215', 10);</v>
      </c>
      <c r="G127">
        <v>124</v>
      </c>
    </row>
    <row r="128" spans="1:7" x14ac:dyDescent="0.15">
      <c r="A128" s="32">
        <f t="shared" si="3"/>
        <v>20227466</v>
      </c>
      <c r="B128" t="str">
        <f t="shared" si="4"/>
        <v>ENG 101</v>
      </c>
      <c r="C128" s="14">
        <f t="shared" ca="1" si="5"/>
        <v>8</v>
      </c>
      <c r="D128" t="str" cm="1">
        <f t="array" aca="1" ref="D128" ca="1">insertinto(A128:C128,$E$2:$F$4,"pr_Enrolments")</f>
        <v>insert into pr_Enrolments values ('20227466', 'ENG 101', 8);</v>
      </c>
      <c r="G128">
        <v>125</v>
      </c>
    </row>
    <row r="129" spans="1:7" x14ac:dyDescent="0.15">
      <c r="A129" s="32">
        <f t="shared" si="3"/>
        <v>20227466</v>
      </c>
      <c r="B129" t="str">
        <f t="shared" si="4"/>
        <v>CS 180</v>
      </c>
      <c r="C129" s="14">
        <f t="shared" ca="1" si="5"/>
        <v>6</v>
      </c>
      <c r="D129" t="str" cm="1">
        <f t="array" aca="1" ref="D129" ca="1">insertinto(A129:C129,$E$2:$F$4,"pr_Enrolments")</f>
        <v>insert into pr_Enrolments values ('20227466', 'CS 180', 6);</v>
      </c>
      <c r="G129">
        <v>126</v>
      </c>
    </row>
    <row r="130" spans="1:7" x14ac:dyDescent="0.15">
      <c r="A130" s="32">
        <f t="shared" ref="A130:A193" si="6">INDEX($H$3:$H$22,INT(G131/14)+1)</f>
        <v>20227466</v>
      </c>
      <c r="B130" t="str">
        <f t="shared" ref="B130:B193" si="7">INDEX($I$3:$I$16,MOD(G131,14)+1)</f>
        <v>CS 105</v>
      </c>
      <c r="C130" s="14">
        <f t="shared" ca="1" si="5"/>
        <v>8</v>
      </c>
      <c r="D130" t="str" cm="1">
        <f t="array" aca="1" ref="D130" ca="1">insertinto(A130:C130,$E$2:$F$4,"pr_Enrolments")</f>
        <v>insert into pr_Enrolments values ('20227466', 'CS 105', 8);</v>
      </c>
      <c r="G130">
        <v>127</v>
      </c>
    </row>
    <row r="131" spans="1:7" x14ac:dyDescent="0.15">
      <c r="A131" s="32">
        <f t="shared" si="6"/>
        <v>20227466</v>
      </c>
      <c r="B131" t="str">
        <f t="shared" si="7"/>
        <v>ECO 110</v>
      </c>
      <c r="C131" s="14">
        <f t="shared" ref="C131:C194" ca="1" si="8">RANDBETWEEN(1,10)</f>
        <v>4</v>
      </c>
      <c r="D131" t="str" cm="1">
        <f t="array" aca="1" ref="D131" ca="1">insertinto(A131:C131,$E$2:$F$4,"pr_Enrolments")</f>
        <v>insert into pr_Enrolments values ('20227466', 'ECO 110', 4);</v>
      </c>
      <c r="G131">
        <v>128</v>
      </c>
    </row>
    <row r="132" spans="1:7" x14ac:dyDescent="0.15">
      <c r="A132" s="32">
        <f t="shared" si="6"/>
        <v>20227466</v>
      </c>
      <c r="B132" t="str">
        <f t="shared" si="7"/>
        <v>MATH 120</v>
      </c>
      <c r="C132" s="14">
        <f t="shared" ca="1" si="8"/>
        <v>4</v>
      </c>
      <c r="D132" t="str" cm="1">
        <f t="array" aca="1" ref="D132" ca="1">insertinto(A132:C132,$E$2:$F$4,"pr_Enrolments")</f>
        <v>insert into pr_Enrolments values ('20227466', 'MATH 120', 4);</v>
      </c>
      <c r="G132">
        <v>129</v>
      </c>
    </row>
    <row r="133" spans="1:7" x14ac:dyDescent="0.15">
      <c r="A133" s="32">
        <f t="shared" si="6"/>
        <v>20227466</v>
      </c>
      <c r="B133" t="str">
        <f t="shared" si="7"/>
        <v>ENG 102</v>
      </c>
      <c r="C133" s="14">
        <f t="shared" ca="1" si="8"/>
        <v>10</v>
      </c>
      <c r="D133" t="str" cm="1">
        <f t="array" aca="1" ref="D133" ca="1">insertinto(A133:C133,$E$2:$F$4,"pr_Enrolments")</f>
        <v>insert into pr_Enrolments values ('20227466', 'ENG 102', 10);</v>
      </c>
      <c r="G133">
        <v>130</v>
      </c>
    </row>
    <row r="134" spans="1:7" x14ac:dyDescent="0.15">
      <c r="A134" s="32">
        <f t="shared" si="6"/>
        <v>20227466</v>
      </c>
      <c r="B134" t="str">
        <f t="shared" si="7"/>
        <v>CS 106</v>
      </c>
      <c r="C134" s="14">
        <f t="shared" ca="1" si="8"/>
        <v>5</v>
      </c>
      <c r="D134" t="str" cm="1">
        <f t="array" aca="1" ref="D134" ca="1">insertinto(A134:C134,$E$2:$F$4,"pr_Enrolments")</f>
        <v>insert into pr_Enrolments values ('20227466', 'CS 106', 5);</v>
      </c>
      <c r="G134">
        <v>131</v>
      </c>
    </row>
    <row r="135" spans="1:7" x14ac:dyDescent="0.15">
      <c r="A135" s="32">
        <f t="shared" si="6"/>
        <v>20227466</v>
      </c>
      <c r="B135" t="str">
        <f t="shared" si="7"/>
        <v>CS 107</v>
      </c>
      <c r="C135" s="14">
        <f t="shared" ca="1" si="8"/>
        <v>10</v>
      </c>
      <c r="D135" t="str" cm="1">
        <f t="array" aca="1" ref="D135" ca="1">insertinto(A135:C135,$E$2:$F$4,"pr_Enrolments")</f>
        <v>insert into pr_Enrolments values ('20227466', 'CS 107', 10);</v>
      </c>
      <c r="G135">
        <v>132</v>
      </c>
    </row>
    <row r="136" spans="1:7" x14ac:dyDescent="0.15">
      <c r="A136" s="32">
        <f t="shared" si="6"/>
        <v>20227466</v>
      </c>
      <c r="B136" t="str">
        <f t="shared" si="7"/>
        <v>ART 120</v>
      </c>
      <c r="C136" s="14">
        <f t="shared" ca="1" si="8"/>
        <v>4</v>
      </c>
      <c r="D136" t="str" cm="1">
        <f t="array" aca="1" ref="D136" ca="1">insertinto(A136:C136,$E$2:$F$4,"pr_Enrolments")</f>
        <v>insert into pr_Enrolments values ('20227466', 'ART 120', 4);</v>
      </c>
      <c r="G136">
        <v>133</v>
      </c>
    </row>
    <row r="137" spans="1:7" x14ac:dyDescent="0.15">
      <c r="A137" s="32">
        <f t="shared" si="6"/>
        <v>20227466</v>
      </c>
      <c r="B137" t="str">
        <f t="shared" si="7"/>
        <v>HIS 120</v>
      </c>
      <c r="C137" s="14">
        <f t="shared" ca="1" si="8"/>
        <v>7</v>
      </c>
      <c r="D137" t="str" cm="1">
        <f t="array" aca="1" ref="D137" ca="1">insertinto(A137:C137,$E$2:$F$4,"pr_Enrolments")</f>
        <v>insert into pr_Enrolments values ('20227466', 'HIS 120', 7);</v>
      </c>
      <c r="G137">
        <v>134</v>
      </c>
    </row>
    <row r="138" spans="1:7" x14ac:dyDescent="0.15">
      <c r="A138" s="32">
        <f t="shared" si="6"/>
        <v>20227466</v>
      </c>
      <c r="B138" t="str">
        <f t="shared" si="7"/>
        <v>PHIL 101</v>
      </c>
      <c r="C138" s="14">
        <f t="shared" ca="1" si="8"/>
        <v>3</v>
      </c>
      <c r="D138" t="str" cm="1">
        <f t="array" aca="1" ref="D138" ca="1">insertinto(A138:C138,$E$2:$F$4,"pr_Enrolments")</f>
        <v>insert into pr_Enrolments values ('20227466', 'PHIL 101', 3);</v>
      </c>
      <c r="G138">
        <v>135</v>
      </c>
    </row>
    <row r="139" spans="1:7" x14ac:dyDescent="0.15">
      <c r="A139" s="32">
        <f t="shared" si="6"/>
        <v>20227466</v>
      </c>
      <c r="B139" t="str">
        <f t="shared" si="7"/>
        <v>POL 101</v>
      </c>
      <c r="C139" s="14">
        <f t="shared" ca="1" si="8"/>
        <v>6</v>
      </c>
      <c r="D139" t="str" cm="1">
        <f t="array" aca="1" ref="D139" ca="1">insertinto(A139:C139,$E$2:$F$4,"pr_Enrolments")</f>
        <v>insert into pr_Enrolments values ('20227466', 'POL 101', 6);</v>
      </c>
      <c r="G139">
        <v>136</v>
      </c>
    </row>
    <row r="140" spans="1:7" x14ac:dyDescent="0.15">
      <c r="A140" s="32">
        <f t="shared" si="6"/>
        <v>20227466</v>
      </c>
      <c r="B140" t="str">
        <f t="shared" si="7"/>
        <v>CS 205</v>
      </c>
      <c r="C140" s="14">
        <f t="shared" ca="1" si="8"/>
        <v>3</v>
      </c>
      <c r="D140" t="str" cm="1">
        <f t="array" aca="1" ref="D140" ca="1">insertinto(A140:C140,$E$2:$F$4,"pr_Enrolments")</f>
        <v>insert into pr_Enrolments values ('20227466', 'CS 205', 3);</v>
      </c>
      <c r="G140">
        <v>137</v>
      </c>
    </row>
    <row r="141" spans="1:7" x14ac:dyDescent="0.15">
      <c r="A141" s="32">
        <f t="shared" si="6"/>
        <v>20227466</v>
      </c>
      <c r="B141" t="str">
        <f t="shared" si="7"/>
        <v>CS 215</v>
      </c>
      <c r="C141" s="14">
        <f t="shared" ca="1" si="8"/>
        <v>5</v>
      </c>
      <c r="D141" t="str" cm="1">
        <f t="array" aca="1" ref="D141" ca="1">insertinto(A141:C141,$E$2:$F$4,"pr_Enrolments")</f>
        <v>insert into pr_Enrolments values ('20227466', 'CS 215', 5);</v>
      </c>
      <c r="G141">
        <v>138</v>
      </c>
    </row>
    <row r="142" spans="1:7" x14ac:dyDescent="0.15">
      <c r="A142" s="32">
        <f t="shared" si="6"/>
        <v>20226221</v>
      </c>
      <c r="B142" t="str">
        <f t="shared" si="7"/>
        <v>ENG 101</v>
      </c>
      <c r="C142" s="14">
        <f t="shared" ca="1" si="8"/>
        <v>5</v>
      </c>
      <c r="D142" t="str" cm="1">
        <f t="array" aca="1" ref="D142" ca="1">insertinto(A142:C142,$E$2:$F$4,"pr_Enrolments")</f>
        <v>insert into pr_Enrolments values ('20226221', 'ENG 101', 5);</v>
      </c>
      <c r="G142">
        <v>139</v>
      </c>
    </row>
    <row r="143" spans="1:7" x14ac:dyDescent="0.15">
      <c r="A143" s="32">
        <f t="shared" si="6"/>
        <v>20226221</v>
      </c>
      <c r="B143" t="str">
        <f t="shared" si="7"/>
        <v>CS 180</v>
      </c>
      <c r="C143" s="14">
        <f t="shared" ca="1" si="8"/>
        <v>5</v>
      </c>
      <c r="D143" t="str" cm="1">
        <f t="array" aca="1" ref="D143" ca="1">insertinto(A143:C143,$E$2:$F$4,"pr_Enrolments")</f>
        <v>insert into pr_Enrolments values ('20226221', 'CS 180', 5);</v>
      </c>
      <c r="G143">
        <v>140</v>
      </c>
    </row>
    <row r="144" spans="1:7" x14ac:dyDescent="0.15">
      <c r="A144" s="32">
        <f t="shared" si="6"/>
        <v>20226221</v>
      </c>
      <c r="B144" t="str">
        <f t="shared" si="7"/>
        <v>CS 105</v>
      </c>
      <c r="C144" s="14">
        <f t="shared" ca="1" si="8"/>
        <v>8</v>
      </c>
      <c r="D144" t="str" cm="1">
        <f t="array" aca="1" ref="D144" ca="1">insertinto(A144:C144,$E$2:$F$4,"pr_Enrolments")</f>
        <v>insert into pr_Enrolments values ('20226221', 'CS 105', 8);</v>
      </c>
      <c r="G144">
        <v>141</v>
      </c>
    </row>
    <row r="145" spans="1:7" x14ac:dyDescent="0.15">
      <c r="A145" s="32">
        <f t="shared" si="6"/>
        <v>20226221</v>
      </c>
      <c r="B145" t="str">
        <f t="shared" si="7"/>
        <v>ECO 110</v>
      </c>
      <c r="C145" s="14">
        <f t="shared" ca="1" si="8"/>
        <v>5</v>
      </c>
      <c r="D145" t="str" cm="1">
        <f t="array" aca="1" ref="D145" ca="1">insertinto(A145:C145,$E$2:$F$4,"pr_Enrolments")</f>
        <v>insert into pr_Enrolments values ('20226221', 'ECO 110', 5);</v>
      </c>
      <c r="G145">
        <v>142</v>
      </c>
    </row>
    <row r="146" spans="1:7" x14ac:dyDescent="0.15">
      <c r="A146" s="32">
        <f t="shared" si="6"/>
        <v>20226221</v>
      </c>
      <c r="B146" t="str">
        <f t="shared" si="7"/>
        <v>MATH 120</v>
      </c>
      <c r="C146" s="14">
        <f t="shared" ca="1" si="8"/>
        <v>1</v>
      </c>
      <c r="D146" t="str" cm="1">
        <f t="array" aca="1" ref="D146" ca="1">insertinto(A146:C146,$E$2:$F$4,"pr_Enrolments")</f>
        <v>insert into pr_Enrolments values ('20226221', 'MATH 120', 1);</v>
      </c>
      <c r="G146">
        <v>143</v>
      </c>
    </row>
    <row r="147" spans="1:7" x14ac:dyDescent="0.15">
      <c r="A147" s="32">
        <f t="shared" si="6"/>
        <v>20226221</v>
      </c>
      <c r="B147" t="str">
        <f t="shared" si="7"/>
        <v>ENG 102</v>
      </c>
      <c r="C147" s="14">
        <f t="shared" ca="1" si="8"/>
        <v>6</v>
      </c>
      <c r="D147" t="str" cm="1">
        <f t="array" aca="1" ref="D147" ca="1">insertinto(A147:C147,$E$2:$F$4,"pr_Enrolments")</f>
        <v>insert into pr_Enrolments values ('20226221', 'ENG 102', 6);</v>
      </c>
      <c r="G147">
        <v>144</v>
      </c>
    </row>
    <row r="148" spans="1:7" x14ac:dyDescent="0.15">
      <c r="A148" s="32">
        <f t="shared" si="6"/>
        <v>20226221</v>
      </c>
      <c r="B148" t="str">
        <f t="shared" si="7"/>
        <v>CS 106</v>
      </c>
      <c r="C148" s="14">
        <f t="shared" ca="1" si="8"/>
        <v>4</v>
      </c>
      <c r="D148" t="str" cm="1">
        <f t="array" aca="1" ref="D148" ca="1">insertinto(A148:C148,$E$2:$F$4,"pr_Enrolments")</f>
        <v>insert into pr_Enrolments values ('20226221', 'CS 106', 4);</v>
      </c>
      <c r="G148">
        <v>145</v>
      </c>
    </row>
    <row r="149" spans="1:7" x14ac:dyDescent="0.15">
      <c r="A149" s="32">
        <f t="shared" si="6"/>
        <v>20226221</v>
      </c>
      <c r="B149" t="str">
        <f t="shared" si="7"/>
        <v>CS 107</v>
      </c>
      <c r="C149" s="14">
        <f t="shared" ca="1" si="8"/>
        <v>7</v>
      </c>
      <c r="D149" t="str" cm="1">
        <f t="array" aca="1" ref="D149" ca="1">insertinto(A149:C149,$E$2:$F$4,"pr_Enrolments")</f>
        <v>insert into pr_Enrolments values ('20226221', 'CS 107', 7);</v>
      </c>
      <c r="G149">
        <v>146</v>
      </c>
    </row>
    <row r="150" spans="1:7" x14ac:dyDescent="0.15">
      <c r="A150" s="32">
        <f t="shared" si="6"/>
        <v>20226221</v>
      </c>
      <c r="B150" t="str">
        <f t="shared" si="7"/>
        <v>ART 120</v>
      </c>
      <c r="C150" s="14">
        <f t="shared" ca="1" si="8"/>
        <v>9</v>
      </c>
      <c r="D150" t="str" cm="1">
        <f t="array" aca="1" ref="D150" ca="1">insertinto(A150:C150,$E$2:$F$4,"pr_Enrolments")</f>
        <v>insert into pr_Enrolments values ('20226221', 'ART 120', 9);</v>
      </c>
      <c r="G150">
        <v>147</v>
      </c>
    </row>
    <row r="151" spans="1:7" x14ac:dyDescent="0.15">
      <c r="A151" s="32">
        <f t="shared" si="6"/>
        <v>20226221</v>
      </c>
      <c r="B151" t="str">
        <f t="shared" si="7"/>
        <v>HIS 120</v>
      </c>
      <c r="C151" s="14">
        <f t="shared" ca="1" si="8"/>
        <v>1</v>
      </c>
      <c r="D151" t="str" cm="1">
        <f t="array" aca="1" ref="D151" ca="1">insertinto(A151:C151,$E$2:$F$4,"pr_Enrolments")</f>
        <v>insert into pr_Enrolments values ('20226221', 'HIS 120', 1);</v>
      </c>
      <c r="G151">
        <v>148</v>
      </c>
    </row>
    <row r="152" spans="1:7" x14ac:dyDescent="0.15">
      <c r="A152" s="32">
        <f t="shared" si="6"/>
        <v>20226221</v>
      </c>
      <c r="B152" t="str">
        <f t="shared" si="7"/>
        <v>PHIL 101</v>
      </c>
      <c r="C152" s="14">
        <f t="shared" ca="1" si="8"/>
        <v>7</v>
      </c>
      <c r="D152" t="str" cm="1">
        <f t="array" aca="1" ref="D152" ca="1">insertinto(A152:C152,$E$2:$F$4,"pr_Enrolments")</f>
        <v>insert into pr_Enrolments values ('20226221', 'PHIL 101', 7);</v>
      </c>
      <c r="G152">
        <v>149</v>
      </c>
    </row>
    <row r="153" spans="1:7" x14ac:dyDescent="0.15">
      <c r="A153" s="32">
        <f t="shared" si="6"/>
        <v>20226221</v>
      </c>
      <c r="B153" t="str">
        <f t="shared" si="7"/>
        <v>POL 101</v>
      </c>
      <c r="C153" s="14">
        <f t="shared" ca="1" si="8"/>
        <v>5</v>
      </c>
      <c r="D153" t="str" cm="1">
        <f t="array" aca="1" ref="D153" ca="1">insertinto(A153:C153,$E$2:$F$4,"pr_Enrolments")</f>
        <v>insert into pr_Enrolments values ('20226221', 'POL 101', 5);</v>
      </c>
      <c r="G153">
        <v>150</v>
      </c>
    </row>
    <row r="154" spans="1:7" x14ac:dyDescent="0.15">
      <c r="A154" s="32">
        <f t="shared" si="6"/>
        <v>20226221</v>
      </c>
      <c r="B154" t="str">
        <f t="shared" si="7"/>
        <v>CS 205</v>
      </c>
      <c r="C154" s="14">
        <f t="shared" ca="1" si="8"/>
        <v>10</v>
      </c>
      <c r="D154" t="str" cm="1">
        <f t="array" aca="1" ref="D154" ca="1">insertinto(A154:C154,$E$2:$F$4,"pr_Enrolments")</f>
        <v>insert into pr_Enrolments values ('20226221', 'CS 205', 10);</v>
      </c>
      <c r="G154">
        <v>151</v>
      </c>
    </row>
    <row r="155" spans="1:7" x14ac:dyDescent="0.15">
      <c r="A155" s="32">
        <f t="shared" si="6"/>
        <v>20226221</v>
      </c>
      <c r="B155" t="str">
        <f t="shared" si="7"/>
        <v>CS 215</v>
      </c>
      <c r="C155" s="14">
        <f t="shared" ca="1" si="8"/>
        <v>7</v>
      </c>
      <c r="D155" t="str" cm="1">
        <f t="array" aca="1" ref="D155" ca="1">insertinto(A155:C155,$E$2:$F$4,"pr_Enrolments")</f>
        <v>insert into pr_Enrolments values ('20226221', 'CS 215', 7);</v>
      </c>
      <c r="G155">
        <v>152</v>
      </c>
    </row>
    <row r="156" spans="1:7" x14ac:dyDescent="0.15">
      <c r="A156" s="32">
        <f t="shared" si="6"/>
        <v>20224946</v>
      </c>
      <c r="B156" t="str">
        <f t="shared" si="7"/>
        <v>ENG 101</v>
      </c>
      <c r="C156" s="14">
        <f t="shared" ca="1" si="8"/>
        <v>6</v>
      </c>
      <c r="D156" t="str" cm="1">
        <f t="array" aca="1" ref="D156" ca="1">insertinto(A156:C156,$E$2:$F$4,"pr_Enrolments")</f>
        <v>insert into pr_Enrolments values ('20224946', 'ENG 101', 6);</v>
      </c>
      <c r="G156">
        <v>153</v>
      </c>
    </row>
    <row r="157" spans="1:7" x14ac:dyDescent="0.15">
      <c r="A157" s="32">
        <f t="shared" si="6"/>
        <v>20224946</v>
      </c>
      <c r="B157" t="str">
        <f t="shared" si="7"/>
        <v>CS 180</v>
      </c>
      <c r="C157" s="14">
        <f t="shared" ca="1" si="8"/>
        <v>8</v>
      </c>
      <c r="D157" t="str" cm="1">
        <f t="array" aca="1" ref="D157" ca="1">insertinto(A157:C157,$E$2:$F$4,"pr_Enrolments")</f>
        <v>insert into pr_Enrolments values ('20224946', 'CS 180', 8);</v>
      </c>
      <c r="G157">
        <v>154</v>
      </c>
    </row>
    <row r="158" spans="1:7" x14ac:dyDescent="0.15">
      <c r="A158" s="32">
        <f t="shared" si="6"/>
        <v>20224946</v>
      </c>
      <c r="B158" t="str">
        <f t="shared" si="7"/>
        <v>CS 105</v>
      </c>
      <c r="C158" s="14">
        <f t="shared" ca="1" si="8"/>
        <v>7</v>
      </c>
      <c r="D158" t="str" cm="1">
        <f t="array" aca="1" ref="D158" ca="1">insertinto(A158:C158,$E$2:$F$4,"pr_Enrolments")</f>
        <v>insert into pr_Enrolments values ('20224946', 'CS 105', 7);</v>
      </c>
      <c r="G158">
        <v>155</v>
      </c>
    </row>
    <row r="159" spans="1:7" x14ac:dyDescent="0.15">
      <c r="A159" s="32">
        <f t="shared" si="6"/>
        <v>20224946</v>
      </c>
      <c r="B159" t="str">
        <f t="shared" si="7"/>
        <v>ECO 110</v>
      </c>
      <c r="C159" s="14">
        <f t="shared" ca="1" si="8"/>
        <v>6</v>
      </c>
      <c r="D159" t="str" cm="1">
        <f t="array" aca="1" ref="D159" ca="1">insertinto(A159:C159,$E$2:$F$4,"pr_Enrolments")</f>
        <v>insert into pr_Enrolments values ('20224946', 'ECO 110', 6);</v>
      </c>
      <c r="G159">
        <v>156</v>
      </c>
    </row>
    <row r="160" spans="1:7" x14ac:dyDescent="0.15">
      <c r="A160" s="32">
        <f t="shared" si="6"/>
        <v>20224946</v>
      </c>
      <c r="B160" t="str">
        <f t="shared" si="7"/>
        <v>MATH 120</v>
      </c>
      <c r="C160" s="14">
        <f t="shared" ca="1" si="8"/>
        <v>1</v>
      </c>
      <c r="D160" t="str" cm="1">
        <f t="array" aca="1" ref="D160" ca="1">insertinto(A160:C160,$E$2:$F$4,"pr_Enrolments")</f>
        <v>insert into pr_Enrolments values ('20224946', 'MATH 120', 1);</v>
      </c>
      <c r="G160">
        <v>157</v>
      </c>
    </row>
    <row r="161" spans="1:7" x14ac:dyDescent="0.15">
      <c r="A161" s="32">
        <f t="shared" si="6"/>
        <v>20224946</v>
      </c>
      <c r="B161" t="str">
        <f t="shared" si="7"/>
        <v>ENG 102</v>
      </c>
      <c r="C161" s="14">
        <f t="shared" ca="1" si="8"/>
        <v>2</v>
      </c>
      <c r="D161" t="str" cm="1">
        <f t="array" aca="1" ref="D161" ca="1">insertinto(A161:C161,$E$2:$F$4,"pr_Enrolments")</f>
        <v>insert into pr_Enrolments values ('20224946', 'ENG 102', 2);</v>
      </c>
      <c r="G161">
        <v>158</v>
      </c>
    </row>
    <row r="162" spans="1:7" x14ac:dyDescent="0.15">
      <c r="A162" s="32">
        <f t="shared" si="6"/>
        <v>20224946</v>
      </c>
      <c r="B162" t="str">
        <f t="shared" si="7"/>
        <v>CS 106</v>
      </c>
      <c r="C162" s="14">
        <f t="shared" ca="1" si="8"/>
        <v>9</v>
      </c>
      <c r="D162" t="str" cm="1">
        <f t="array" aca="1" ref="D162" ca="1">insertinto(A162:C162,$E$2:$F$4,"pr_Enrolments")</f>
        <v>insert into pr_Enrolments values ('20224946', 'CS 106', 9);</v>
      </c>
      <c r="G162">
        <v>159</v>
      </c>
    </row>
    <row r="163" spans="1:7" x14ac:dyDescent="0.15">
      <c r="A163" s="32">
        <f t="shared" si="6"/>
        <v>20224946</v>
      </c>
      <c r="B163" t="str">
        <f t="shared" si="7"/>
        <v>CS 107</v>
      </c>
      <c r="C163" s="14">
        <f t="shared" ca="1" si="8"/>
        <v>1</v>
      </c>
      <c r="D163" t="str" cm="1">
        <f t="array" aca="1" ref="D163" ca="1">insertinto(A163:C163,$E$2:$F$4,"pr_Enrolments")</f>
        <v>insert into pr_Enrolments values ('20224946', 'CS 107', 1);</v>
      </c>
      <c r="G163">
        <v>160</v>
      </c>
    </row>
    <row r="164" spans="1:7" x14ac:dyDescent="0.15">
      <c r="A164" s="32">
        <f t="shared" si="6"/>
        <v>20224946</v>
      </c>
      <c r="B164" t="str">
        <f t="shared" si="7"/>
        <v>ART 120</v>
      </c>
      <c r="C164" s="14">
        <f t="shared" ca="1" si="8"/>
        <v>8</v>
      </c>
      <c r="D164" t="str" cm="1">
        <f t="array" aca="1" ref="D164" ca="1">insertinto(A164:C164,$E$2:$F$4,"pr_Enrolments")</f>
        <v>insert into pr_Enrolments values ('20224946', 'ART 120', 8);</v>
      </c>
      <c r="G164">
        <v>161</v>
      </c>
    </row>
    <row r="165" spans="1:7" x14ac:dyDescent="0.15">
      <c r="A165" s="32">
        <f t="shared" si="6"/>
        <v>20224946</v>
      </c>
      <c r="B165" t="str">
        <f t="shared" si="7"/>
        <v>HIS 120</v>
      </c>
      <c r="C165" s="14">
        <f t="shared" ca="1" si="8"/>
        <v>7</v>
      </c>
      <c r="D165" t="str" cm="1">
        <f t="array" aca="1" ref="D165" ca="1">insertinto(A165:C165,$E$2:$F$4,"pr_Enrolments")</f>
        <v>insert into pr_Enrolments values ('20224946', 'HIS 120', 7);</v>
      </c>
      <c r="G165">
        <v>162</v>
      </c>
    </row>
    <row r="166" spans="1:7" x14ac:dyDescent="0.15">
      <c r="A166" s="32">
        <f t="shared" si="6"/>
        <v>20224946</v>
      </c>
      <c r="B166" t="str">
        <f t="shared" si="7"/>
        <v>PHIL 101</v>
      </c>
      <c r="C166" s="14">
        <f t="shared" ca="1" si="8"/>
        <v>5</v>
      </c>
      <c r="D166" t="str" cm="1">
        <f t="array" aca="1" ref="D166" ca="1">insertinto(A166:C166,$E$2:$F$4,"pr_Enrolments")</f>
        <v>insert into pr_Enrolments values ('20224946', 'PHIL 101', 5);</v>
      </c>
      <c r="G166">
        <v>163</v>
      </c>
    </row>
    <row r="167" spans="1:7" x14ac:dyDescent="0.15">
      <c r="A167" s="32">
        <f t="shared" si="6"/>
        <v>20224946</v>
      </c>
      <c r="B167" t="str">
        <f t="shared" si="7"/>
        <v>POL 101</v>
      </c>
      <c r="C167" s="14">
        <f t="shared" ca="1" si="8"/>
        <v>9</v>
      </c>
      <c r="D167" t="str" cm="1">
        <f t="array" aca="1" ref="D167" ca="1">insertinto(A167:C167,$E$2:$F$4,"pr_Enrolments")</f>
        <v>insert into pr_Enrolments values ('20224946', 'POL 101', 9);</v>
      </c>
      <c r="G167">
        <v>164</v>
      </c>
    </row>
    <row r="168" spans="1:7" x14ac:dyDescent="0.15">
      <c r="A168" s="32">
        <f t="shared" si="6"/>
        <v>20224946</v>
      </c>
      <c r="B168" t="str">
        <f t="shared" si="7"/>
        <v>CS 205</v>
      </c>
      <c r="C168" s="14">
        <f t="shared" ca="1" si="8"/>
        <v>1</v>
      </c>
      <c r="D168" t="str" cm="1">
        <f t="array" aca="1" ref="D168" ca="1">insertinto(A168:C168,$E$2:$F$4,"pr_Enrolments")</f>
        <v>insert into pr_Enrolments values ('20224946', 'CS 205', 1);</v>
      </c>
      <c r="G168">
        <v>165</v>
      </c>
    </row>
    <row r="169" spans="1:7" x14ac:dyDescent="0.15">
      <c r="A169" s="32">
        <f t="shared" si="6"/>
        <v>20224946</v>
      </c>
      <c r="B169" t="str">
        <f t="shared" si="7"/>
        <v>CS 215</v>
      </c>
      <c r="C169" s="14">
        <f t="shared" ca="1" si="8"/>
        <v>10</v>
      </c>
      <c r="D169" t="str" cm="1">
        <f t="array" aca="1" ref="D169" ca="1">insertinto(A169:C169,$E$2:$F$4,"pr_Enrolments")</f>
        <v>insert into pr_Enrolments values ('20224946', 'CS 215', 10);</v>
      </c>
      <c r="G169">
        <v>166</v>
      </c>
    </row>
    <row r="170" spans="1:7" x14ac:dyDescent="0.15">
      <c r="A170" s="32">
        <f t="shared" si="6"/>
        <v>20227782</v>
      </c>
      <c r="B170" t="str">
        <f t="shared" si="7"/>
        <v>ENG 101</v>
      </c>
      <c r="C170" s="14">
        <f t="shared" ca="1" si="8"/>
        <v>10</v>
      </c>
      <c r="D170" t="str" cm="1">
        <f t="array" aca="1" ref="D170" ca="1">insertinto(A170:C170,$E$2:$F$4,"pr_Enrolments")</f>
        <v>insert into pr_Enrolments values ('20227782', 'ENG 101', 10);</v>
      </c>
      <c r="G170">
        <v>167</v>
      </c>
    </row>
    <row r="171" spans="1:7" x14ac:dyDescent="0.15">
      <c r="A171" s="32">
        <f t="shared" si="6"/>
        <v>20227782</v>
      </c>
      <c r="B171" t="str">
        <f t="shared" si="7"/>
        <v>CS 180</v>
      </c>
      <c r="C171" s="14">
        <f t="shared" ca="1" si="8"/>
        <v>4</v>
      </c>
      <c r="D171" t="str" cm="1">
        <f t="array" aca="1" ref="D171" ca="1">insertinto(A171:C171,$E$2:$F$4,"pr_Enrolments")</f>
        <v>insert into pr_Enrolments values ('20227782', 'CS 180', 4);</v>
      </c>
      <c r="G171">
        <v>168</v>
      </c>
    </row>
    <row r="172" spans="1:7" x14ac:dyDescent="0.15">
      <c r="A172" s="32">
        <f t="shared" si="6"/>
        <v>20227782</v>
      </c>
      <c r="B172" t="str">
        <f t="shared" si="7"/>
        <v>CS 105</v>
      </c>
      <c r="C172" s="14">
        <f t="shared" ca="1" si="8"/>
        <v>2</v>
      </c>
      <c r="D172" t="str" cm="1">
        <f t="array" aca="1" ref="D172" ca="1">insertinto(A172:C172,$E$2:$F$4,"pr_Enrolments")</f>
        <v>insert into pr_Enrolments values ('20227782', 'CS 105', 2);</v>
      </c>
      <c r="G172">
        <v>169</v>
      </c>
    </row>
    <row r="173" spans="1:7" x14ac:dyDescent="0.15">
      <c r="A173" s="32">
        <f t="shared" si="6"/>
        <v>20227782</v>
      </c>
      <c r="B173" t="str">
        <f t="shared" si="7"/>
        <v>ECO 110</v>
      </c>
      <c r="C173" s="14">
        <f t="shared" ca="1" si="8"/>
        <v>10</v>
      </c>
      <c r="D173" t="str" cm="1">
        <f t="array" aca="1" ref="D173" ca="1">insertinto(A173:C173,$E$2:$F$4,"pr_Enrolments")</f>
        <v>insert into pr_Enrolments values ('20227782', 'ECO 110', 10);</v>
      </c>
      <c r="G173">
        <v>170</v>
      </c>
    </row>
    <row r="174" spans="1:7" x14ac:dyDescent="0.15">
      <c r="A174" s="32">
        <f t="shared" si="6"/>
        <v>20227782</v>
      </c>
      <c r="B174" t="str">
        <f t="shared" si="7"/>
        <v>MATH 120</v>
      </c>
      <c r="C174" s="14">
        <f t="shared" ca="1" si="8"/>
        <v>5</v>
      </c>
      <c r="D174" t="str" cm="1">
        <f t="array" aca="1" ref="D174" ca="1">insertinto(A174:C174,$E$2:$F$4,"pr_Enrolments")</f>
        <v>insert into pr_Enrolments values ('20227782', 'MATH 120', 5);</v>
      </c>
      <c r="G174">
        <v>171</v>
      </c>
    </row>
    <row r="175" spans="1:7" x14ac:dyDescent="0.15">
      <c r="A175" s="32">
        <f t="shared" si="6"/>
        <v>20227782</v>
      </c>
      <c r="B175" t="str">
        <f t="shared" si="7"/>
        <v>ENG 102</v>
      </c>
      <c r="C175" s="14">
        <f t="shared" ca="1" si="8"/>
        <v>5</v>
      </c>
      <c r="D175" t="str" cm="1">
        <f t="array" aca="1" ref="D175" ca="1">insertinto(A175:C175,$E$2:$F$4,"pr_Enrolments")</f>
        <v>insert into pr_Enrolments values ('20227782', 'ENG 102', 5);</v>
      </c>
      <c r="G175">
        <v>172</v>
      </c>
    </row>
    <row r="176" spans="1:7" x14ac:dyDescent="0.15">
      <c r="A176" s="32">
        <f t="shared" si="6"/>
        <v>20227782</v>
      </c>
      <c r="B176" t="str">
        <f t="shared" si="7"/>
        <v>CS 106</v>
      </c>
      <c r="C176" s="14">
        <f t="shared" ca="1" si="8"/>
        <v>6</v>
      </c>
      <c r="D176" t="str" cm="1">
        <f t="array" aca="1" ref="D176" ca="1">insertinto(A176:C176,$E$2:$F$4,"pr_Enrolments")</f>
        <v>insert into pr_Enrolments values ('20227782', 'CS 106', 6);</v>
      </c>
      <c r="G176">
        <v>173</v>
      </c>
    </row>
    <row r="177" spans="1:7" x14ac:dyDescent="0.15">
      <c r="A177" s="32">
        <f t="shared" si="6"/>
        <v>20227782</v>
      </c>
      <c r="B177" t="str">
        <f t="shared" si="7"/>
        <v>CS 107</v>
      </c>
      <c r="C177" s="14">
        <f t="shared" ca="1" si="8"/>
        <v>10</v>
      </c>
      <c r="D177" t="str" cm="1">
        <f t="array" aca="1" ref="D177" ca="1">insertinto(A177:C177,$E$2:$F$4,"pr_Enrolments")</f>
        <v>insert into pr_Enrolments values ('20227782', 'CS 107', 10);</v>
      </c>
      <c r="G177">
        <v>174</v>
      </c>
    </row>
    <row r="178" spans="1:7" x14ac:dyDescent="0.15">
      <c r="A178" s="32">
        <f t="shared" si="6"/>
        <v>20227782</v>
      </c>
      <c r="B178" t="str">
        <f t="shared" si="7"/>
        <v>ART 120</v>
      </c>
      <c r="C178" s="14">
        <f t="shared" ca="1" si="8"/>
        <v>7</v>
      </c>
      <c r="D178" t="str" cm="1">
        <f t="array" aca="1" ref="D178" ca="1">insertinto(A178:C178,$E$2:$F$4,"pr_Enrolments")</f>
        <v>insert into pr_Enrolments values ('20227782', 'ART 120', 7);</v>
      </c>
      <c r="G178">
        <v>175</v>
      </c>
    </row>
    <row r="179" spans="1:7" x14ac:dyDescent="0.15">
      <c r="A179" s="32">
        <f t="shared" si="6"/>
        <v>20227782</v>
      </c>
      <c r="B179" t="str">
        <f t="shared" si="7"/>
        <v>HIS 120</v>
      </c>
      <c r="C179" s="14">
        <f t="shared" ca="1" si="8"/>
        <v>3</v>
      </c>
      <c r="D179" t="str" cm="1">
        <f t="array" aca="1" ref="D179" ca="1">insertinto(A179:C179,$E$2:$F$4,"pr_Enrolments")</f>
        <v>insert into pr_Enrolments values ('20227782', 'HIS 120', 3);</v>
      </c>
      <c r="G179">
        <v>176</v>
      </c>
    </row>
    <row r="180" spans="1:7" x14ac:dyDescent="0.15">
      <c r="A180" s="32">
        <f t="shared" si="6"/>
        <v>20227782</v>
      </c>
      <c r="B180" t="str">
        <f t="shared" si="7"/>
        <v>PHIL 101</v>
      </c>
      <c r="C180" s="14">
        <f t="shared" ca="1" si="8"/>
        <v>7</v>
      </c>
      <c r="D180" t="str" cm="1">
        <f t="array" aca="1" ref="D180" ca="1">insertinto(A180:C180,$E$2:$F$4,"pr_Enrolments")</f>
        <v>insert into pr_Enrolments values ('20227782', 'PHIL 101', 7);</v>
      </c>
      <c r="G180">
        <v>177</v>
      </c>
    </row>
    <row r="181" spans="1:7" x14ac:dyDescent="0.15">
      <c r="A181" s="32">
        <f t="shared" si="6"/>
        <v>20227782</v>
      </c>
      <c r="B181" t="str">
        <f t="shared" si="7"/>
        <v>POL 101</v>
      </c>
      <c r="C181" s="14">
        <f t="shared" ca="1" si="8"/>
        <v>4</v>
      </c>
      <c r="D181" t="str" cm="1">
        <f t="array" aca="1" ref="D181" ca="1">insertinto(A181:C181,$E$2:$F$4,"pr_Enrolments")</f>
        <v>insert into pr_Enrolments values ('20227782', 'POL 101', 4);</v>
      </c>
      <c r="G181">
        <v>178</v>
      </c>
    </row>
    <row r="182" spans="1:7" x14ac:dyDescent="0.15">
      <c r="A182" s="32">
        <f t="shared" si="6"/>
        <v>20227782</v>
      </c>
      <c r="B182" t="str">
        <f t="shared" si="7"/>
        <v>CS 205</v>
      </c>
      <c r="C182" s="14">
        <f t="shared" ca="1" si="8"/>
        <v>4</v>
      </c>
      <c r="D182" t="str" cm="1">
        <f t="array" aca="1" ref="D182" ca="1">insertinto(A182:C182,$E$2:$F$4,"pr_Enrolments")</f>
        <v>insert into pr_Enrolments values ('20227782', 'CS 205', 4);</v>
      </c>
      <c r="G182">
        <v>179</v>
      </c>
    </row>
    <row r="183" spans="1:7" x14ac:dyDescent="0.15">
      <c r="A183" s="32">
        <f t="shared" si="6"/>
        <v>20227782</v>
      </c>
      <c r="B183" t="str">
        <f t="shared" si="7"/>
        <v>CS 215</v>
      </c>
      <c r="C183" s="14">
        <f t="shared" ca="1" si="8"/>
        <v>1</v>
      </c>
      <c r="D183" t="str" cm="1">
        <f t="array" aca="1" ref="D183" ca="1">insertinto(A183:C183,$E$2:$F$4,"pr_Enrolments")</f>
        <v>insert into pr_Enrolments values ('20227782', 'CS 215', 1);</v>
      </c>
      <c r="G183">
        <v>180</v>
      </c>
    </row>
    <row r="184" spans="1:7" x14ac:dyDescent="0.15">
      <c r="A184" s="32">
        <f t="shared" si="6"/>
        <v>20227177</v>
      </c>
      <c r="B184" t="str">
        <f t="shared" si="7"/>
        <v>ENG 101</v>
      </c>
      <c r="C184" s="14">
        <f t="shared" ca="1" si="8"/>
        <v>3</v>
      </c>
      <c r="D184" t="str" cm="1">
        <f t="array" aca="1" ref="D184" ca="1">insertinto(A184:C184,$E$2:$F$4,"pr_Enrolments")</f>
        <v>insert into pr_Enrolments values ('20227177', 'ENG 101', 3);</v>
      </c>
      <c r="G184">
        <v>181</v>
      </c>
    </row>
    <row r="185" spans="1:7" x14ac:dyDescent="0.15">
      <c r="A185" s="32">
        <f t="shared" si="6"/>
        <v>20227177</v>
      </c>
      <c r="B185" t="str">
        <f t="shared" si="7"/>
        <v>CS 180</v>
      </c>
      <c r="C185" s="14">
        <f t="shared" ca="1" si="8"/>
        <v>4</v>
      </c>
      <c r="D185" t="str" cm="1">
        <f t="array" aca="1" ref="D185" ca="1">insertinto(A185:C185,$E$2:$F$4,"pr_Enrolments")</f>
        <v>insert into pr_Enrolments values ('20227177', 'CS 180', 4);</v>
      </c>
      <c r="G185">
        <v>182</v>
      </c>
    </row>
    <row r="186" spans="1:7" x14ac:dyDescent="0.15">
      <c r="A186" s="32">
        <f t="shared" si="6"/>
        <v>20227177</v>
      </c>
      <c r="B186" t="str">
        <f t="shared" si="7"/>
        <v>CS 105</v>
      </c>
      <c r="C186" s="14">
        <f t="shared" ca="1" si="8"/>
        <v>4</v>
      </c>
      <c r="D186" t="str" cm="1">
        <f t="array" aca="1" ref="D186" ca="1">insertinto(A186:C186,$E$2:$F$4,"pr_Enrolments")</f>
        <v>insert into pr_Enrolments values ('20227177', 'CS 105', 4);</v>
      </c>
      <c r="G186">
        <v>183</v>
      </c>
    </row>
    <row r="187" spans="1:7" x14ac:dyDescent="0.15">
      <c r="A187" s="32">
        <f t="shared" si="6"/>
        <v>20227177</v>
      </c>
      <c r="B187" t="str">
        <f t="shared" si="7"/>
        <v>ECO 110</v>
      </c>
      <c r="C187" s="14">
        <f t="shared" ca="1" si="8"/>
        <v>7</v>
      </c>
      <c r="D187" t="str" cm="1">
        <f t="array" aca="1" ref="D187" ca="1">insertinto(A187:C187,$E$2:$F$4,"pr_Enrolments")</f>
        <v>insert into pr_Enrolments values ('20227177', 'ECO 110', 7);</v>
      </c>
      <c r="G187">
        <v>184</v>
      </c>
    </row>
    <row r="188" spans="1:7" x14ac:dyDescent="0.15">
      <c r="A188" s="32">
        <f t="shared" si="6"/>
        <v>20227177</v>
      </c>
      <c r="B188" t="str">
        <f t="shared" si="7"/>
        <v>MATH 120</v>
      </c>
      <c r="C188" s="14">
        <f t="shared" ca="1" si="8"/>
        <v>1</v>
      </c>
      <c r="D188" t="str" cm="1">
        <f t="array" aca="1" ref="D188" ca="1">insertinto(A188:C188,$E$2:$F$4,"pr_Enrolments")</f>
        <v>insert into pr_Enrolments values ('20227177', 'MATH 120', 1);</v>
      </c>
      <c r="G188">
        <v>185</v>
      </c>
    </row>
    <row r="189" spans="1:7" x14ac:dyDescent="0.15">
      <c r="A189" s="32">
        <f t="shared" si="6"/>
        <v>20227177</v>
      </c>
      <c r="B189" t="str">
        <f t="shared" si="7"/>
        <v>ENG 102</v>
      </c>
      <c r="C189" s="14">
        <f t="shared" ca="1" si="8"/>
        <v>1</v>
      </c>
      <c r="D189" t="str" cm="1">
        <f t="array" aca="1" ref="D189" ca="1">insertinto(A189:C189,$E$2:$F$4,"pr_Enrolments")</f>
        <v>insert into pr_Enrolments values ('20227177', 'ENG 102', 1);</v>
      </c>
      <c r="G189">
        <v>186</v>
      </c>
    </row>
    <row r="190" spans="1:7" x14ac:dyDescent="0.15">
      <c r="A190" s="32">
        <f t="shared" si="6"/>
        <v>20227177</v>
      </c>
      <c r="B190" t="str">
        <f t="shared" si="7"/>
        <v>CS 106</v>
      </c>
      <c r="C190" s="14">
        <f t="shared" ca="1" si="8"/>
        <v>9</v>
      </c>
      <c r="D190" t="str" cm="1">
        <f t="array" aca="1" ref="D190" ca="1">insertinto(A190:C190,$E$2:$F$4,"pr_Enrolments")</f>
        <v>insert into pr_Enrolments values ('20227177', 'CS 106', 9);</v>
      </c>
      <c r="G190">
        <v>187</v>
      </c>
    </row>
    <row r="191" spans="1:7" x14ac:dyDescent="0.15">
      <c r="A191" s="32">
        <f t="shared" si="6"/>
        <v>20227177</v>
      </c>
      <c r="B191" t="str">
        <f t="shared" si="7"/>
        <v>CS 107</v>
      </c>
      <c r="C191" s="14">
        <f t="shared" ca="1" si="8"/>
        <v>3</v>
      </c>
      <c r="D191" t="str" cm="1">
        <f t="array" aca="1" ref="D191" ca="1">insertinto(A191:C191,$E$2:$F$4,"pr_Enrolments")</f>
        <v>insert into pr_Enrolments values ('20227177', 'CS 107', 3);</v>
      </c>
      <c r="G191">
        <v>188</v>
      </c>
    </row>
    <row r="192" spans="1:7" x14ac:dyDescent="0.15">
      <c r="A192" s="32">
        <f t="shared" si="6"/>
        <v>20227177</v>
      </c>
      <c r="B192" t="str">
        <f t="shared" si="7"/>
        <v>ART 120</v>
      </c>
      <c r="C192" s="14">
        <f t="shared" ca="1" si="8"/>
        <v>9</v>
      </c>
      <c r="D192" t="str" cm="1">
        <f t="array" aca="1" ref="D192" ca="1">insertinto(A192:C192,$E$2:$F$4,"pr_Enrolments")</f>
        <v>insert into pr_Enrolments values ('20227177', 'ART 120', 9);</v>
      </c>
      <c r="G192">
        <v>189</v>
      </c>
    </row>
    <row r="193" spans="1:7" x14ac:dyDescent="0.15">
      <c r="A193" s="32">
        <f t="shared" si="6"/>
        <v>20227177</v>
      </c>
      <c r="B193" t="str">
        <f t="shared" si="7"/>
        <v>HIS 120</v>
      </c>
      <c r="C193" s="14">
        <f t="shared" ca="1" si="8"/>
        <v>4</v>
      </c>
      <c r="D193" t="str" cm="1">
        <f t="array" aca="1" ref="D193" ca="1">insertinto(A193:C193,$E$2:$F$4,"pr_Enrolments")</f>
        <v>insert into pr_Enrolments values ('20227177', 'HIS 120', 4);</v>
      </c>
      <c r="G193">
        <v>190</v>
      </c>
    </row>
    <row r="194" spans="1:7" x14ac:dyDescent="0.15">
      <c r="A194" s="32">
        <f t="shared" ref="A194:A257" si="9">INDEX($H$3:$H$22,INT(G195/14)+1)</f>
        <v>20227177</v>
      </c>
      <c r="B194" t="str">
        <f t="shared" ref="B194:B257" si="10">INDEX($I$3:$I$16,MOD(G195,14)+1)</f>
        <v>PHIL 101</v>
      </c>
      <c r="C194" s="14">
        <f t="shared" ca="1" si="8"/>
        <v>5</v>
      </c>
      <c r="D194" t="str" cm="1">
        <f t="array" aca="1" ref="D194" ca="1">insertinto(A194:C194,$E$2:$F$4,"pr_Enrolments")</f>
        <v>insert into pr_Enrolments values ('20227177', 'PHIL 101', 5);</v>
      </c>
      <c r="G194">
        <v>191</v>
      </c>
    </row>
    <row r="195" spans="1:7" x14ac:dyDescent="0.15">
      <c r="A195" s="32">
        <f t="shared" si="9"/>
        <v>20227177</v>
      </c>
      <c r="B195" t="str">
        <f t="shared" si="10"/>
        <v>POL 101</v>
      </c>
      <c r="C195" s="14">
        <f t="shared" ref="C195:C258" ca="1" si="11">RANDBETWEEN(1,10)</f>
        <v>1</v>
      </c>
      <c r="D195" t="str" cm="1">
        <f t="array" aca="1" ref="D195" ca="1">insertinto(A195:C195,$E$2:$F$4,"pr_Enrolments")</f>
        <v>insert into pr_Enrolments values ('20227177', 'POL 101', 1);</v>
      </c>
      <c r="G195">
        <v>192</v>
      </c>
    </row>
    <row r="196" spans="1:7" x14ac:dyDescent="0.15">
      <c r="A196" s="32">
        <f t="shared" si="9"/>
        <v>20227177</v>
      </c>
      <c r="B196" t="str">
        <f t="shared" si="10"/>
        <v>CS 205</v>
      </c>
      <c r="C196" s="14">
        <f t="shared" ca="1" si="11"/>
        <v>6</v>
      </c>
      <c r="D196" t="str" cm="1">
        <f t="array" aca="1" ref="D196" ca="1">insertinto(A196:C196,$E$2:$F$4,"pr_Enrolments")</f>
        <v>insert into pr_Enrolments values ('20227177', 'CS 205', 6);</v>
      </c>
      <c r="G196">
        <v>193</v>
      </c>
    </row>
    <row r="197" spans="1:7" x14ac:dyDescent="0.15">
      <c r="A197" s="32">
        <f t="shared" si="9"/>
        <v>20227177</v>
      </c>
      <c r="B197" t="str">
        <f t="shared" si="10"/>
        <v>CS 215</v>
      </c>
      <c r="C197" s="14">
        <f t="shared" ca="1" si="11"/>
        <v>8</v>
      </c>
      <c r="D197" t="str" cm="1">
        <f t="array" aca="1" ref="D197" ca="1">insertinto(A197:C197,$E$2:$F$4,"pr_Enrolments")</f>
        <v>insert into pr_Enrolments values ('20227177', 'CS 215', 8);</v>
      </c>
      <c r="G197">
        <v>194</v>
      </c>
    </row>
    <row r="198" spans="1:7" x14ac:dyDescent="0.15">
      <c r="A198" s="32">
        <f t="shared" si="9"/>
        <v>20221564</v>
      </c>
      <c r="B198" t="str">
        <f t="shared" si="10"/>
        <v>ENG 101</v>
      </c>
      <c r="C198" s="14">
        <f t="shared" ca="1" si="11"/>
        <v>1</v>
      </c>
      <c r="D198" t="str" cm="1">
        <f t="array" aca="1" ref="D198" ca="1">insertinto(A198:C198,$E$2:$F$4,"pr_Enrolments")</f>
        <v>insert into pr_Enrolments values ('20221564', 'ENG 101', 1);</v>
      </c>
      <c r="G198">
        <v>195</v>
      </c>
    </row>
    <row r="199" spans="1:7" x14ac:dyDescent="0.15">
      <c r="A199" s="32">
        <f t="shared" si="9"/>
        <v>20221564</v>
      </c>
      <c r="B199" t="str">
        <f t="shared" si="10"/>
        <v>CS 180</v>
      </c>
      <c r="C199" s="14">
        <f t="shared" ca="1" si="11"/>
        <v>3</v>
      </c>
      <c r="D199" t="str" cm="1">
        <f t="array" aca="1" ref="D199" ca="1">insertinto(A199:C199,$E$2:$F$4,"pr_Enrolments")</f>
        <v>insert into pr_Enrolments values ('20221564', 'CS 180', 3);</v>
      </c>
      <c r="G199">
        <v>196</v>
      </c>
    </row>
    <row r="200" spans="1:7" x14ac:dyDescent="0.15">
      <c r="A200" s="32">
        <f t="shared" si="9"/>
        <v>20221564</v>
      </c>
      <c r="B200" t="str">
        <f t="shared" si="10"/>
        <v>CS 105</v>
      </c>
      <c r="C200" s="14">
        <f t="shared" ca="1" si="11"/>
        <v>9</v>
      </c>
      <c r="D200" t="str" cm="1">
        <f t="array" aca="1" ref="D200" ca="1">insertinto(A200:C200,$E$2:$F$4,"pr_Enrolments")</f>
        <v>insert into pr_Enrolments values ('20221564', 'CS 105', 9);</v>
      </c>
      <c r="G200">
        <v>197</v>
      </c>
    </row>
    <row r="201" spans="1:7" x14ac:dyDescent="0.15">
      <c r="A201" s="32">
        <f t="shared" si="9"/>
        <v>20221564</v>
      </c>
      <c r="B201" t="str">
        <f t="shared" si="10"/>
        <v>ECO 110</v>
      </c>
      <c r="C201" s="14">
        <f t="shared" ca="1" si="11"/>
        <v>8</v>
      </c>
      <c r="D201" t="str" cm="1">
        <f t="array" aca="1" ref="D201" ca="1">insertinto(A201:C201,$E$2:$F$4,"pr_Enrolments")</f>
        <v>insert into pr_Enrolments values ('20221564', 'ECO 110', 8);</v>
      </c>
      <c r="G201">
        <v>198</v>
      </c>
    </row>
    <row r="202" spans="1:7" x14ac:dyDescent="0.15">
      <c r="A202" s="32">
        <f t="shared" si="9"/>
        <v>20221564</v>
      </c>
      <c r="B202" t="str">
        <f t="shared" si="10"/>
        <v>MATH 120</v>
      </c>
      <c r="C202" s="14">
        <f t="shared" ca="1" si="11"/>
        <v>7</v>
      </c>
      <c r="D202" t="str" cm="1">
        <f t="array" aca="1" ref="D202" ca="1">insertinto(A202:C202,$E$2:$F$4,"pr_Enrolments")</f>
        <v>insert into pr_Enrolments values ('20221564', 'MATH 120', 7);</v>
      </c>
      <c r="G202">
        <v>199</v>
      </c>
    </row>
    <row r="203" spans="1:7" x14ac:dyDescent="0.15">
      <c r="A203" s="32">
        <f t="shared" si="9"/>
        <v>20221564</v>
      </c>
      <c r="B203" t="str">
        <f t="shared" si="10"/>
        <v>ENG 102</v>
      </c>
      <c r="C203" s="14">
        <f t="shared" ca="1" si="11"/>
        <v>5</v>
      </c>
      <c r="D203" t="str" cm="1">
        <f t="array" aca="1" ref="D203" ca="1">insertinto(A203:C203,$E$2:$F$4,"pr_Enrolments")</f>
        <v>insert into pr_Enrolments values ('20221564', 'ENG 102', 5);</v>
      </c>
      <c r="G203">
        <v>200</v>
      </c>
    </row>
    <row r="204" spans="1:7" x14ac:dyDescent="0.15">
      <c r="A204" s="32">
        <f t="shared" si="9"/>
        <v>20221564</v>
      </c>
      <c r="B204" t="str">
        <f t="shared" si="10"/>
        <v>CS 106</v>
      </c>
      <c r="C204" s="14">
        <f t="shared" ca="1" si="11"/>
        <v>1</v>
      </c>
      <c r="D204" t="str" cm="1">
        <f t="array" aca="1" ref="D204" ca="1">insertinto(A204:C204,$E$2:$F$4,"pr_Enrolments")</f>
        <v>insert into pr_Enrolments values ('20221564', 'CS 106', 1);</v>
      </c>
      <c r="G204">
        <v>201</v>
      </c>
    </row>
    <row r="205" spans="1:7" x14ac:dyDescent="0.15">
      <c r="A205" s="32">
        <f t="shared" si="9"/>
        <v>20221564</v>
      </c>
      <c r="B205" t="str">
        <f t="shared" si="10"/>
        <v>CS 107</v>
      </c>
      <c r="C205" s="14">
        <f t="shared" ca="1" si="11"/>
        <v>6</v>
      </c>
      <c r="D205" t="str" cm="1">
        <f t="array" aca="1" ref="D205" ca="1">insertinto(A205:C205,$E$2:$F$4,"pr_Enrolments")</f>
        <v>insert into pr_Enrolments values ('20221564', 'CS 107', 6);</v>
      </c>
      <c r="G205">
        <v>202</v>
      </c>
    </row>
    <row r="206" spans="1:7" x14ac:dyDescent="0.15">
      <c r="A206" s="32">
        <f t="shared" si="9"/>
        <v>20221564</v>
      </c>
      <c r="B206" t="str">
        <f t="shared" si="10"/>
        <v>ART 120</v>
      </c>
      <c r="C206" s="14">
        <f t="shared" ca="1" si="11"/>
        <v>1</v>
      </c>
      <c r="D206" t="str" cm="1">
        <f t="array" aca="1" ref="D206" ca="1">insertinto(A206:C206,$E$2:$F$4,"pr_Enrolments")</f>
        <v>insert into pr_Enrolments values ('20221564', 'ART 120', 1);</v>
      </c>
      <c r="G206">
        <v>203</v>
      </c>
    </row>
    <row r="207" spans="1:7" x14ac:dyDescent="0.15">
      <c r="A207" s="32">
        <f t="shared" si="9"/>
        <v>20221564</v>
      </c>
      <c r="B207" t="str">
        <f t="shared" si="10"/>
        <v>HIS 120</v>
      </c>
      <c r="C207" s="14">
        <f t="shared" ca="1" si="11"/>
        <v>9</v>
      </c>
      <c r="D207" t="str" cm="1">
        <f t="array" aca="1" ref="D207" ca="1">insertinto(A207:C207,$E$2:$F$4,"pr_Enrolments")</f>
        <v>insert into pr_Enrolments values ('20221564', 'HIS 120', 9);</v>
      </c>
      <c r="G207">
        <v>204</v>
      </c>
    </row>
    <row r="208" spans="1:7" x14ac:dyDescent="0.15">
      <c r="A208" s="32">
        <f t="shared" si="9"/>
        <v>20221564</v>
      </c>
      <c r="B208" t="str">
        <f t="shared" si="10"/>
        <v>PHIL 101</v>
      </c>
      <c r="C208" s="14">
        <f t="shared" ca="1" si="11"/>
        <v>8</v>
      </c>
      <c r="D208" t="str" cm="1">
        <f t="array" aca="1" ref="D208" ca="1">insertinto(A208:C208,$E$2:$F$4,"pr_Enrolments")</f>
        <v>insert into pr_Enrolments values ('20221564', 'PHIL 101', 8);</v>
      </c>
      <c r="G208">
        <v>205</v>
      </c>
    </row>
    <row r="209" spans="1:7" x14ac:dyDescent="0.15">
      <c r="A209" s="32">
        <f t="shared" si="9"/>
        <v>20221564</v>
      </c>
      <c r="B209" t="str">
        <f t="shared" si="10"/>
        <v>POL 101</v>
      </c>
      <c r="C209" s="14">
        <f t="shared" ca="1" si="11"/>
        <v>7</v>
      </c>
      <c r="D209" t="str" cm="1">
        <f t="array" aca="1" ref="D209" ca="1">insertinto(A209:C209,$E$2:$F$4,"pr_Enrolments")</f>
        <v>insert into pr_Enrolments values ('20221564', 'POL 101', 7);</v>
      </c>
      <c r="G209">
        <v>206</v>
      </c>
    </row>
    <row r="210" spans="1:7" x14ac:dyDescent="0.15">
      <c r="A210" s="32">
        <f t="shared" si="9"/>
        <v>20221564</v>
      </c>
      <c r="B210" t="str">
        <f t="shared" si="10"/>
        <v>CS 205</v>
      </c>
      <c r="C210" s="14">
        <f t="shared" ca="1" si="11"/>
        <v>8</v>
      </c>
      <c r="D210" t="str" cm="1">
        <f t="array" aca="1" ref="D210" ca="1">insertinto(A210:C210,$E$2:$F$4,"pr_Enrolments")</f>
        <v>insert into pr_Enrolments values ('20221564', 'CS 205', 8);</v>
      </c>
      <c r="G210">
        <v>207</v>
      </c>
    </row>
    <row r="211" spans="1:7" x14ac:dyDescent="0.15">
      <c r="A211" s="32">
        <f t="shared" si="9"/>
        <v>20221564</v>
      </c>
      <c r="B211" t="str">
        <f t="shared" si="10"/>
        <v>CS 215</v>
      </c>
      <c r="C211" s="14">
        <f t="shared" ca="1" si="11"/>
        <v>5</v>
      </c>
      <c r="D211" t="str" cm="1">
        <f t="array" aca="1" ref="D211" ca="1">insertinto(A211:C211,$E$2:$F$4,"pr_Enrolments")</f>
        <v>insert into pr_Enrolments values ('20221564', 'CS 215', 5);</v>
      </c>
      <c r="G211">
        <v>208</v>
      </c>
    </row>
    <row r="212" spans="1:7" x14ac:dyDescent="0.15">
      <c r="A212" s="32">
        <f t="shared" si="9"/>
        <v>20224484</v>
      </c>
      <c r="B212" t="str">
        <f t="shared" si="10"/>
        <v>ENG 101</v>
      </c>
      <c r="C212" s="14">
        <f t="shared" ca="1" si="11"/>
        <v>7</v>
      </c>
      <c r="D212" t="str" cm="1">
        <f t="array" aca="1" ref="D212" ca="1">insertinto(A212:C212,$E$2:$F$4,"pr_Enrolments")</f>
        <v>insert into pr_Enrolments values ('20224484', 'ENG 101', 7);</v>
      </c>
      <c r="G212">
        <v>209</v>
      </c>
    </row>
    <row r="213" spans="1:7" x14ac:dyDescent="0.15">
      <c r="A213" s="32">
        <f t="shared" si="9"/>
        <v>20224484</v>
      </c>
      <c r="B213" t="str">
        <f t="shared" si="10"/>
        <v>CS 180</v>
      </c>
      <c r="C213" s="14">
        <f t="shared" ca="1" si="11"/>
        <v>3</v>
      </c>
      <c r="D213" t="str" cm="1">
        <f t="array" aca="1" ref="D213" ca="1">insertinto(A213:C213,$E$2:$F$4,"pr_Enrolments")</f>
        <v>insert into pr_Enrolments values ('20224484', 'CS 180', 3);</v>
      </c>
      <c r="G213">
        <v>210</v>
      </c>
    </row>
    <row r="214" spans="1:7" x14ac:dyDescent="0.15">
      <c r="A214" s="32">
        <f t="shared" si="9"/>
        <v>20224484</v>
      </c>
      <c r="B214" t="str">
        <f t="shared" si="10"/>
        <v>CS 105</v>
      </c>
      <c r="C214" s="14">
        <f t="shared" ca="1" si="11"/>
        <v>10</v>
      </c>
      <c r="D214" t="str" cm="1">
        <f t="array" aca="1" ref="D214" ca="1">insertinto(A214:C214,$E$2:$F$4,"pr_Enrolments")</f>
        <v>insert into pr_Enrolments values ('20224484', 'CS 105', 10);</v>
      </c>
      <c r="G214">
        <v>211</v>
      </c>
    </row>
    <row r="215" spans="1:7" x14ac:dyDescent="0.15">
      <c r="A215" s="32">
        <f t="shared" si="9"/>
        <v>20224484</v>
      </c>
      <c r="B215" t="str">
        <f t="shared" si="10"/>
        <v>ECO 110</v>
      </c>
      <c r="C215" s="14">
        <f t="shared" ca="1" si="11"/>
        <v>2</v>
      </c>
      <c r="D215" t="str" cm="1">
        <f t="array" aca="1" ref="D215" ca="1">insertinto(A215:C215,$E$2:$F$4,"pr_Enrolments")</f>
        <v>insert into pr_Enrolments values ('20224484', 'ECO 110', 2);</v>
      </c>
      <c r="G215">
        <v>212</v>
      </c>
    </row>
    <row r="216" spans="1:7" x14ac:dyDescent="0.15">
      <c r="A216" s="32">
        <f t="shared" si="9"/>
        <v>20224484</v>
      </c>
      <c r="B216" t="str">
        <f t="shared" si="10"/>
        <v>MATH 120</v>
      </c>
      <c r="C216" s="14">
        <f t="shared" ca="1" si="11"/>
        <v>7</v>
      </c>
      <c r="D216" t="str" cm="1">
        <f t="array" aca="1" ref="D216" ca="1">insertinto(A216:C216,$E$2:$F$4,"pr_Enrolments")</f>
        <v>insert into pr_Enrolments values ('20224484', 'MATH 120', 7);</v>
      </c>
      <c r="G216">
        <v>213</v>
      </c>
    </row>
    <row r="217" spans="1:7" x14ac:dyDescent="0.15">
      <c r="A217" s="32">
        <f t="shared" si="9"/>
        <v>20224484</v>
      </c>
      <c r="B217" t="str">
        <f t="shared" si="10"/>
        <v>ENG 102</v>
      </c>
      <c r="C217" s="14">
        <f t="shared" ca="1" si="11"/>
        <v>4</v>
      </c>
      <c r="D217" t="str" cm="1">
        <f t="array" aca="1" ref="D217" ca="1">insertinto(A217:C217,$E$2:$F$4,"pr_Enrolments")</f>
        <v>insert into pr_Enrolments values ('20224484', 'ENG 102', 4);</v>
      </c>
      <c r="G217">
        <v>214</v>
      </c>
    </row>
    <row r="218" spans="1:7" x14ac:dyDescent="0.15">
      <c r="A218" s="32">
        <f t="shared" si="9"/>
        <v>20224484</v>
      </c>
      <c r="B218" t="str">
        <f t="shared" si="10"/>
        <v>CS 106</v>
      </c>
      <c r="C218" s="14">
        <f t="shared" ca="1" si="11"/>
        <v>4</v>
      </c>
      <c r="D218" t="str" cm="1">
        <f t="array" aca="1" ref="D218" ca="1">insertinto(A218:C218,$E$2:$F$4,"pr_Enrolments")</f>
        <v>insert into pr_Enrolments values ('20224484', 'CS 106', 4);</v>
      </c>
      <c r="G218">
        <v>215</v>
      </c>
    </row>
    <row r="219" spans="1:7" x14ac:dyDescent="0.15">
      <c r="A219" s="32">
        <f t="shared" si="9"/>
        <v>20224484</v>
      </c>
      <c r="B219" t="str">
        <f t="shared" si="10"/>
        <v>CS 107</v>
      </c>
      <c r="C219" s="14">
        <f t="shared" ca="1" si="11"/>
        <v>6</v>
      </c>
      <c r="D219" t="str" cm="1">
        <f t="array" aca="1" ref="D219" ca="1">insertinto(A219:C219,$E$2:$F$4,"pr_Enrolments")</f>
        <v>insert into pr_Enrolments values ('20224484', 'CS 107', 6);</v>
      </c>
      <c r="G219">
        <v>216</v>
      </c>
    </row>
    <row r="220" spans="1:7" x14ac:dyDescent="0.15">
      <c r="A220" s="32">
        <f t="shared" si="9"/>
        <v>20224484</v>
      </c>
      <c r="B220" t="str">
        <f t="shared" si="10"/>
        <v>ART 120</v>
      </c>
      <c r="C220" s="14">
        <f t="shared" ca="1" si="11"/>
        <v>3</v>
      </c>
      <c r="D220" t="str" cm="1">
        <f t="array" aca="1" ref="D220" ca="1">insertinto(A220:C220,$E$2:$F$4,"pr_Enrolments")</f>
        <v>insert into pr_Enrolments values ('20224484', 'ART 120', 3);</v>
      </c>
      <c r="G220">
        <v>217</v>
      </c>
    </row>
    <row r="221" spans="1:7" x14ac:dyDescent="0.15">
      <c r="A221" s="32">
        <f t="shared" si="9"/>
        <v>20224484</v>
      </c>
      <c r="B221" t="str">
        <f t="shared" si="10"/>
        <v>HIS 120</v>
      </c>
      <c r="C221" s="14">
        <f t="shared" ca="1" si="11"/>
        <v>3</v>
      </c>
      <c r="D221" t="str" cm="1">
        <f t="array" aca="1" ref="D221" ca="1">insertinto(A221:C221,$E$2:$F$4,"pr_Enrolments")</f>
        <v>insert into pr_Enrolments values ('20224484', 'HIS 120', 3);</v>
      </c>
      <c r="G221">
        <v>218</v>
      </c>
    </row>
    <row r="222" spans="1:7" x14ac:dyDescent="0.15">
      <c r="A222" s="32">
        <f t="shared" si="9"/>
        <v>20224484</v>
      </c>
      <c r="B222" t="str">
        <f t="shared" si="10"/>
        <v>PHIL 101</v>
      </c>
      <c r="C222" s="14">
        <f t="shared" ca="1" si="11"/>
        <v>4</v>
      </c>
      <c r="D222" t="str" cm="1">
        <f t="array" aca="1" ref="D222" ca="1">insertinto(A222:C222,$E$2:$F$4,"pr_Enrolments")</f>
        <v>insert into pr_Enrolments values ('20224484', 'PHIL 101', 4);</v>
      </c>
      <c r="G222">
        <v>219</v>
      </c>
    </row>
    <row r="223" spans="1:7" x14ac:dyDescent="0.15">
      <c r="A223" s="32">
        <f t="shared" si="9"/>
        <v>20224484</v>
      </c>
      <c r="B223" t="str">
        <f t="shared" si="10"/>
        <v>POL 101</v>
      </c>
      <c r="C223" s="14">
        <f t="shared" ca="1" si="11"/>
        <v>1</v>
      </c>
      <c r="D223" t="str" cm="1">
        <f t="array" aca="1" ref="D223" ca="1">insertinto(A223:C223,$E$2:$F$4,"pr_Enrolments")</f>
        <v>insert into pr_Enrolments values ('20224484', 'POL 101', 1);</v>
      </c>
      <c r="G223">
        <v>220</v>
      </c>
    </row>
    <row r="224" spans="1:7" x14ac:dyDescent="0.15">
      <c r="A224" s="32">
        <f t="shared" si="9"/>
        <v>20224484</v>
      </c>
      <c r="B224" t="str">
        <f t="shared" si="10"/>
        <v>CS 205</v>
      </c>
      <c r="C224" s="14">
        <f t="shared" ca="1" si="11"/>
        <v>2</v>
      </c>
      <c r="D224" t="str" cm="1">
        <f t="array" aca="1" ref="D224" ca="1">insertinto(A224:C224,$E$2:$F$4,"pr_Enrolments")</f>
        <v>insert into pr_Enrolments values ('20224484', 'CS 205', 2);</v>
      </c>
      <c r="G224">
        <v>221</v>
      </c>
    </row>
    <row r="225" spans="1:7" x14ac:dyDescent="0.15">
      <c r="A225" s="32">
        <f t="shared" si="9"/>
        <v>20224484</v>
      </c>
      <c r="B225" t="str">
        <f t="shared" si="10"/>
        <v>CS 215</v>
      </c>
      <c r="C225" s="14">
        <f t="shared" ca="1" si="11"/>
        <v>4</v>
      </c>
      <c r="D225" t="str" cm="1">
        <f t="array" aca="1" ref="D225" ca="1">insertinto(A225:C225,$E$2:$F$4,"pr_Enrolments")</f>
        <v>insert into pr_Enrolments values ('20224484', 'CS 215', 4);</v>
      </c>
      <c r="G225">
        <v>222</v>
      </c>
    </row>
    <row r="226" spans="1:7" x14ac:dyDescent="0.15">
      <c r="A226" s="32">
        <f t="shared" si="9"/>
        <v>20226724</v>
      </c>
      <c r="B226" t="str">
        <f t="shared" si="10"/>
        <v>ENG 101</v>
      </c>
      <c r="C226" s="14">
        <f t="shared" ca="1" si="11"/>
        <v>10</v>
      </c>
      <c r="D226" t="str" cm="1">
        <f t="array" aca="1" ref="D226" ca="1">insertinto(A226:C226,$E$2:$F$4,"pr_Enrolments")</f>
        <v>insert into pr_Enrolments values ('20226724', 'ENG 101', 10);</v>
      </c>
      <c r="G226">
        <v>223</v>
      </c>
    </row>
    <row r="227" spans="1:7" x14ac:dyDescent="0.15">
      <c r="A227" s="32">
        <f t="shared" si="9"/>
        <v>20226724</v>
      </c>
      <c r="B227" t="str">
        <f t="shared" si="10"/>
        <v>CS 180</v>
      </c>
      <c r="C227" s="14">
        <f t="shared" ca="1" si="11"/>
        <v>1</v>
      </c>
      <c r="D227" t="str" cm="1">
        <f t="array" aca="1" ref="D227" ca="1">insertinto(A227:C227,$E$2:$F$4,"pr_Enrolments")</f>
        <v>insert into pr_Enrolments values ('20226724', 'CS 180', 1);</v>
      </c>
      <c r="G227">
        <v>224</v>
      </c>
    </row>
    <row r="228" spans="1:7" x14ac:dyDescent="0.15">
      <c r="A228" s="32">
        <f t="shared" si="9"/>
        <v>20226724</v>
      </c>
      <c r="B228" t="str">
        <f t="shared" si="10"/>
        <v>CS 105</v>
      </c>
      <c r="C228" s="14">
        <f t="shared" ca="1" si="11"/>
        <v>10</v>
      </c>
      <c r="D228" t="str" cm="1">
        <f t="array" aca="1" ref="D228" ca="1">insertinto(A228:C228,$E$2:$F$4,"pr_Enrolments")</f>
        <v>insert into pr_Enrolments values ('20226724', 'CS 105', 10);</v>
      </c>
      <c r="G228">
        <v>225</v>
      </c>
    </row>
    <row r="229" spans="1:7" x14ac:dyDescent="0.15">
      <c r="A229" s="32">
        <f t="shared" si="9"/>
        <v>20226724</v>
      </c>
      <c r="B229" t="str">
        <f t="shared" si="10"/>
        <v>ECO 110</v>
      </c>
      <c r="C229" s="14">
        <f t="shared" ca="1" si="11"/>
        <v>10</v>
      </c>
      <c r="D229" t="str" cm="1">
        <f t="array" aca="1" ref="D229" ca="1">insertinto(A229:C229,$E$2:$F$4,"pr_Enrolments")</f>
        <v>insert into pr_Enrolments values ('20226724', 'ECO 110', 10);</v>
      </c>
      <c r="G229">
        <v>226</v>
      </c>
    </row>
    <row r="230" spans="1:7" x14ac:dyDescent="0.15">
      <c r="A230" s="32">
        <f t="shared" si="9"/>
        <v>20226724</v>
      </c>
      <c r="B230" t="str">
        <f t="shared" si="10"/>
        <v>MATH 120</v>
      </c>
      <c r="C230" s="14">
        <f t="shared" ca="1" si="11"/>
        <v>2</v>
      </c>
      <c r="D230" t="str" cm="1">
        <f t="array" aca="1" ref="D230" ca="1">insertinto(A230:C230,$E$2:$F$4,"pr_Enrolments")</f>
        <v>insert into pr_Enrolments values ('20226724', 'MATH 120', 2);</v>
      </c>
      <c r="G230">
        <v>227</v>
      </c>
    </row>
    <row r="231" spans="1:7" x14ac:dyDescent="0.15">
      <c r="A231" s="32">
        <f t="shared" si="9"/>
        <v>20226724</v>
      </c>
      <c r="B231" t="str">
        <f t="shared" si="10"/>
        <v>ENG 102</v>
      </c>
      <c r="C231" s="14">
        <f t="shared" ca="1" si="11"/>
        <v>4</v>
      </c>
      <c r="D231" t="str" cm="1">
        <f t="array" aca="1" ref="D231" ca="1">insertinto(A231:C231,$E$2:$F$4,"pr_Enrolments")</f>
        <v>insert into pr_Enrolments values ('20226724', 'ENG 102', 4);</v>
      </c>
      <c r="G231">
        <v>228</v>
      </c>
    </row>
    <row r="232" spans="1:7" x14ac:dyDescent="0.15">
      <c r="A232" s="32">
        <f t="shared" si="9"/>
        <v>20226724</v>
      </c>
      <c r="B232" t="str">
        <f t="shared" si="10"/>
        <v>CS 106</v>
      </c>
      <c r="C232" s="14">
        <f t="shared" ca="1" si="11"/>
        <v>1</v>
      </c>
      <c r="D232" t="str" cm="1">
        <f t="array" aca="1" ref="D232" ca="1">insertinto(A232:C232,$E$2:$F$4,"pr_Enrolments")</f>
        <v>insert into pr_Enrolments values ('20226724', 'CS 106', 1);</v>
      </c>
      <c r="G232">
        <v>229</v>
      </c>
    </row>
    <row r="233" spans="1:7" x14ac:dyDescent="0.15">
      <c r="A233" s="32">
        <f t="shared" si="9"/>
        <v>20226724</v>
      </c>
      <c r="B233" t="str">
        <f t="shared" si="10"/>
        <v>CS 107</v>
      </c>
      <c r="C233" s="14">
        <f t="shared" ca="1" si="11"/>
        <v>10</v>
      </c>
      <c r="D233" t="str" cm="1">
        <f t="array" aca="1" ref="D233" ca="1">insertinto(A233:C233,$E$2:$F$4,"pr_Enrolments")</f>
        <v>insert into pr_Enrolments values ('20226724', 'CS 107', 10);</v>
      </c>
      <c r="G233">
        <v>230</v>
      </c>
    </row>
    <row r="234" spans="1:7" x14ac:dyDescent="0.15">
      <c r="A234" s="32">
        <f t="shared" si="9"/>
        <v>20226724</v>
      </c>
      <c r="B234" t="str">
        <f t="shared" si="10"/>
        <v>ART 120</v>
      </c>
      <c r="C234" s="14">
        <f t="shared" ca="1" si="11"/>
        <v>2</v>
      </c>
      <c r="D234" t="str" cm="1">
        <f t="array" aca="1" ref="D234" ca="1">insertinto(A234:C234,$E$2:$F$4,"pr_Enrolments")</f>
        <v>insert into pr_Enrolments values ('20226724', 'ART 120', 2);</v>
      </c>
      <c r="G234">
        <v>231</v>
      </c>
    </row>
    <row r="235" spans="1:7" x14ac:dyDescent="0.15">
      <c r="A235" s="32">
        <f t="shared" si="9"/>
        <v>20226724</v>
      </c>
      <c r="B235" t="str">
        <f t="shared" si="10"/>
        <v>HIS 120</v>
      </c>
      <c r="C235" s="14">
        <f t="shared" ca="1" si="11"/>
        <v>9</v>
      </c>
      <c r="D235" t="str" cm="1">
        <f t="array" aca="1" ref="D235" ca="1">insertinto(A235:C235,$E$2:$F$4,"pr_Enrolments")</f>
        <v>insert into pr_Enrolments values ('20226724', 'HIS 120', 9);</v>
      </c>
      <c r="G235">
        <v>232</v>
      </c>
    </row>
    <row r="236" spans="1:7" x14ac:dyDescent="0.15">
      <c r="A236" s="32">
        <f t="shared" si="9"/>
        <v>20226724</v>
      </c>
      <c r="B236" t="str">
        <f t="shared" si="10"/>
        <v>PHIL 101</v>
      </c>
      <c r="C236" s="14">
        <f t="shared" ca="1" si="11"/>
        <v>10</v>
      </c>
      <c r="D236" t="str" cm="1">
        <f t="array" aca="1" ref="D236" ca="1">insertinto(A236:C236,$E$2:$F$4,"pr_Enrolments")</f>
        <v>insert into pr_Enrolments values ('20226724', 'PHIL 101', 10);</v>
      </c>
      <c r="G236">
        <v>233</v>
      </c>
    </row>
    <row r="237" spans="1:7" x14ac:dyDescent="0.15">
      <c r="A237" s="32">
        <f t="shared" si="9"/>
        <v>20226724</v>
      </c>
      <c r="B237" t="str">
        <f t="shared" si="10"/>
        <v>POL 101</v>
      </c>
      <c r="C237" s="14">
        <f t="shared" ca="1" si="11"/>
        <v>9</v>
      </c>
      <c r="D237" t="str" cm="1">
        <f t="array" aca="1" ref="D237" ca="1">insertinto(A237:C237,$E$2:$F$4,"pr_Enrolments")</f>
        <v>insert into pr_Enrolments values ('20226724', 'POL 101', 9);</v>
      </c>
      <c r="G237">
        <v>234</v>
      </c>
    </row>
    <row r="238" spans="1:7" x14ac:dyDescent="0.15">
      <c r="A238" s="32">
        <f t="shared" si="9"/>
        <v>20226724</v>
      </c>
      <c r="B238" t="str">
        <f t="shared" si="10"/>
        <v>CS 205</v>
      </c>
      <c r="C238" s="14">
        <f t="shared" ca="1" si="11"/>
        <v>6</v>
      </c>
      <c r="D238" t="str" cm="1">
        <f t="array" aca="1" ref="D238" ca="1">insertinto(A238:C238,$E$2:$F$4,"pr_Enrolments")</f>
        <v>insert into pr_Enrolments values ('20226724', 'CS 205', 6);</v>
      </c>
      <c r="G238">
        <v>235</v>
      </c>
    </row>
    <row r="239" spans="1:7" x14ac:dyDescent="0.15">
      <c r="A239" s="32">
        <f t="shared" si="9"/>
        <v>20226724</v>
      </c>
      <c r="B239" t="str">
        <f t="shared" si="10"/>
        <v>CS 215</v>
      </c>
      <c r="C239" s="14">
        <f t="shared" ca="1" si="11"/>
        <v>10</v>
      </c>
      <c r="D239" t="str" cm="1">
        <f t="array" aca="1" ref="D239" ca="1">insertinto(A239:C239,$E$2:$F$4,"pr_Enrolments")</f>
        <v>insert into pr_Enrolments values ('20226724', 'CS 215', 10);</v>
      </c>
      <c r="G239">
        <v>236</v>
      </c>
    </row>
    <row r="240" spans="1:7" x14ac:dyDescent="0.15">
      <c r="A240" s="32">
        <f t="shared" si="9"/>
        <v>20225519</v>
      </c>
      <c r="B240" t="str">
        <f t="shared" si="10"/>
        <v>ENG 101</v>
      </c>
      <c r="C240" s="14">
        <f t="shared" ca="1" si="11"/>
        <v>10</v>
      </c>
      <c r="D240" t="str" cm="1">
        <f t="array" aca="1" ref="D240" ca="1">insertinto(A240:C240,$E$2:$F$4,"pr_Enrolments")</f>
        <v>insert into pr_Enrolments values ('20225519', 'ENG 101', 10);</v>
      </c>
      <c r="G240">
        <v>237</v>
      </c>
    </row>
    <row r="241" spans="1:7" x14ac:dyDescent="0.15">
      <c r="A241" s="32">
        <f t="shared" si="9"/>
        <v>20225519</v>
      </c>
      <c r="B241" t="str">
        <f t="shared" si="10"/>
        <v>CS 180</v>
      </c>
      <c r="C241" s="14">
        <f t="shared" ca="1" si="11"/>
        <v>2</v>
      </c>
      <c r="D241" t="str" cm="1">
        <f t="array" aca="1" ref="D241" ca="1">insertinto(A241:C241,$E$2:$F$4,"pr_Enrolments")</f>
        <v>insert into pr_Enrolments values ('20225519', 'CS 180', 2);</v>
      </c>
      <c r="G241">
        <v>238</v>
      </c>
    </row>
    <row r="242" spans="1:7" x14ac:dyDescent="0.15">
      <c r="A242" s="32">
        <f t="shared" si="9"/>
        <v>20225519</v>
      </c>
      <c r="B242" t="str">
        <f t="shared" si="10"/>
        <v>CS 105</v>
      </c>
      <c r="C242" s="14">
        <f t="shared" ca="1" si="11"/>
        <v>3</v>
      </c>
      <c r="D242" t="str" cm="1">
        <f t="array" aca="1" ref="D242" ca="1">insertinto(A242:C242,$E$2:$F$4,"pr_Enrolments")</f>
        <v>insert into pr_Enrolments values ('20225519', 'CS 105', 3);</v>
      </c>
      <c r="G242">
        <v>239</v>
      </c>
    </row>
    <row r="243" spans="1:7" x14ac:dyDescent="0.15">
      <c r="A243" s="32">
        <f t="shared" si="9"/>
        <v>20225519</v>
      </c>
      <c r="B243" t="str">
        <f t="shared" si="10"/>
        <v>ECO 110</v>
      </c>
      <c r="C243" s="14">
        <f t="shared" ca="1" si="11"/>
        <v>6</v>
      </c>
      <c r="D243" t="str" cm="1">
        <f t="array" aca="1" ref="D243" ca="1">insertinto(A243:C243,$E$2:$F$4,"pr_Enrolments")</f>
        <v>insert into pr_Enrolments values ('20225519', 'ECO 110', 6);</v>
      </c>
      <c r="G243">
        <v>240</v>
      </c>
    </row>
    <row r="244" spans="1:7" x14ac:dyDescent="0.15">
      <c r="A244" s="32">
        <f t="shared" si="9"/>
        <v>20225519</v>
      </c>
      <c r="B244" t="str">
        <f t="shared" si="10"/>
        <v>MATH 120</v>
      </c>
      <c r="C244" s="14">
        <f t="shared" ca="1" si="11"/>
        <v>6</v>
      </c>
      <c r="D244" t="str" cm="1">
        <f t="array" aca="1" ref="D244" ca="1">insertinto(A244:C244,$E$2:$F$4,"pr_Enrolments")</f>
        <v>insert into pr_Enrolments values ('20225519', 'MATH 120', 6);</v>
      </c>
      <c r="G244">
        <v>241</v>
      </c>
    </row>
    <row r="245" spans="1:7" x14ac:dyDescent="0.15">
      <c r="A245" s="32">
        <f t="shared" si="9"/>
        <v>20225519</v>
      </c>
      <c r="B245" t="str">
        <f t="shared" si="10"/>
        <v>ENG 102</v>
      </c>
      <c r="C245" s="14">
        <f t="shared" ca="1" si="11"/>
        <v>3</v>
      </c>
      <c r="D245" t="str" cm="1">
        <f t="array" aca="1" ref="D245" ca="1">insertinto(A245:C245,$E$2:$F$4,"pr_Enrolments")</f>
        <v>insert into pr_Enrolments values ('20225519', 'ENG 102', 3);</v>
      </c>
      <c r="G245">
        <v>242</v>
      </c>
    </row>
    <row r="246" spans="1:7" x14ac:dyDescent="0.15">
      <c r="A246" s="32">
        <f t="shared" si="9"/>
        <v>20225519</v>
      </c>
      <c r="B246" t="str">
        <f t="shared" si="10"/>
        <v>CS 106</v>
      </c>
      <c r="C246" s="14">
        <f t="shared" ca="1" si="11"/>
        <v>1</v>
      </c>
      <c r="D246" t="str" cm="1">
        <f t="array" aca="1" ref="D246" ca="1">insertinto(A246:C246,$E$2:$F$4,"pr_Enrolments")</f>
        <v>insert into pr_Enrolments values ('20225519', 'CS 106', 1);</v>
      </c>
      <c r="G246">
        <v>243</v>
      </c>
    </row>
    <row r="247" spans="1:7" x14ac:dyDescent="0.15">
      <c r="A247" s="32">
        <f t="shared" si="9"/>
        <v>20225519</v>
      </c>
      <c r="B247" t="str">
        <f t="shared" si="10"/>
        <v>CS 107</v>
      </c>
      <c r="C247" s="14">
        <f t="shared" ca="1" si="11"/>
        <v>5</v>
      </c>
      <c r="D247" t="str" cm="1">
        <f t="array" aca="1" ref="D247" ca="1">insertinto(A247:C247,$E$2:$F$4,"pr_Enrolments")</f>
        <v>insert into pr_Enrolments values ('20225519', 'CS 107', 5);</v>
      </c>
      <c r="G247">
        <v>244</v>
      </c>
    </row>
    <row r="248" spans="1:7" x14ac:dyDescent="0.15">
      <c r="A248" s="32">
        <f t="shared" si="9"/>
        <v>20225519</v>
      </c>
      <c r="B248" t="str">
        <f t="shared" si="10"/>
        <v>ART 120</v>
      </c>
      <c r="C248" s="14">
        <f t="shared" ca="1" si="11"/>
        <v>9</v>
      </c>
      <c r="D248" t="str" cm="1">
        <f t="array" aca="1" ref="D248" ca="1">insertinto(A248:C248,$E$2:$F$4,"pr_Enrolments")</f>
        <v>insert into pr_Enrolments values ('20225519', 'ART 120', 9);</v>
      </c>
      <c r="G248">
        <v>245</v>
      </c>
    </row>
    <row r="249" spans="1:7" x14ac:dyDescent="0.15">
      <c r="A249" s="32">
        <f t="shared" si="9"/>
        <v>20225519</v>
      </c>
      <c r="B249" t="str">
        <f t="shared" si="10"/>
        <v>HIS 120</v>
      </c>
      <c r="C249" s="14">
        <f t="shared" ca="1" si="11"/>
        <v>4</v>
      </c>
      <c r="D249" t="str" cm="1">
        <f t="array" aca="1" ref="D249" ca="1">insertinto(A249:C249,$E$2:$F$4,"pr_Enrolments")</f>
        <v>insert into pr_Enrolments values ('20225519', 'HIS 120', 4);</v>
      </c>
      <c r="G249">
        <v>246</v>
      </c>
    </row>
    <row r="250" spans="1:7" x14ac:dyDescent="0.15">
      <c r="A250" s="32">
        <f t="shared" si="9"/>
        <v>20225519</v>
      </c>
      <c r="B250" t="str">
        <f t="shared" si="10"/>
        <v>PHIL 101</v>
      </c>
      <c r="C250" s="14">
        <f t="shared" ca="1" si="11"/>
        <v>8</v>
      </c>
      <c r="D250" t="str" cm="1">
        <f t="array" aca="1" ref="D250" ca="1">insertinto(A250:C250,$E$2:$F$4,"pr_Enrolments")</f>
        <v>insert into pr_Enrolments values ('20225519', 'PHIL 101', 8);</v>
      </c>
      <c r="G250">
        <v>247</v>
      </c>
    </row>
    <row r="251" spans="1:7" x14ac:dyDescent="0.15">
      <c r="A251" s="32">
        <f t="shared" si="9"/>
        <v>20225519</v>
      </c>
      <c r="B251" t="str">
        <f t="shared" si="10"/>
        <v>POL 101</v>
      </c>
      <c r="C251" s="14">
        <f t="shared" ca="1" si="11"/>
        <v>7</v>
      </c>
      <c r="D251" t="str" cm="1">
        <f t="array" aca="1" ref="D251" ca="1">insertinto(A251:C251,$E$2:$F$4,"pr_Enrolments")</f>
        <v>insert into pr_Enrolments values ('20225519', 'POL 101', 7);</v>
      </c>
      <c r="G251">
        <v>248</v>
      </c>
    </row>
    <row r="252" spans="1:7" x14ac:dyDescent="0.15">
      <c r="A252" s="32">
        <f t="shared" si="9"/>
        <v>20225519</v>
      </c>
      <c r="B252" t="str">
        <f t="shared" si="10"/>
        <v>CS 205</v>
      </c>
      <c r="C252" s="14">
        <f t="shared" ca="1" si="11"/>
        <v>3</v>
      </c>
      <c r="D252" t="str" cm="1">
        <f t="array" aca="1" ref="D252" ca="1">insertinto(A252:C252,$E$2:$F$4,"pr_Enrolments")</f>
        <v>insert into pr_Enrolments values ('20225519', 'CS 205', 3);</v>
      </c>
      <c r="G252">
        <v>249</v>
      </c>
    </row>
    <row r="253" spans="1:7" x14ac:dyDescent="0.15">
      <c r="A253" s="32">
        <f t="shared" si="9"/>
        <v>20225519</v>
      </c>
      <c r="B253" t="str">
        <f t="shared" si="10"/>
        <v>CS 215</v>
      </c>
      <c r="C253" s="14">
        <f t="shared" ca="1" si="11"/>
        <v>7</v>
      </c>
      <c r="D253" t="str" cm="1">
        <f t="array" aca="1" ref="D253" ca="1">insertinto(A253:C253,$E$2:$F$4,"pr_Enrolments")</f>
        <v>insert into pr_Enrolments values ('20225519', 'CS 215', 7);</v>
      </c>
      <c r="G253">
        <v>250</v>
      </c>
    </row>
    <row r="254" spans="1:7" x14ac:dyDescent="0.15">
      <c r="A254" s="32">
        <f t="shared" si="9"/>
        <v>20227388</v>
      </c>
      <c r="B254" t="str">
        <f t="shared" si="10"/>
        <v>ENG 101</v>
      </c>
      <c r="C254" s="14">
        <f t="shared" ca="1" si="11"/>
        <v>3</v>
      </c>
      <c r="D254" t="str" cm="1">
        <f t="array" aca="1" ref="D254" ca="1">insertinto(A254:C254,$E$2:$F$4,"pr_Enrolments")</f>
        <v>insert into pr_Enrolments values ('20227388', 'ENG 101', 3);</v>
      </c>
      <c r="G254">
        <v>251</v>
      </c>
    </row>
    <row r="255" spans="1:7" x14ac:dyDescent="0.15">
      <c r="A255" s="32">
        <f t="shared" si="9"/>
        <v>20227388</v>
      </c>
      <c r="B255" t="str">
        <f t="shared" si="10"/>
        <v>CS 180</v>
      </c>
      <c r="C255" s="14">
        <f t="shared" ca="1" si="11"/>
        <v>5</v>
      </c>
      <c r="D255" t="str" cm="1">
        <f t="array" aca="1" ref="D255" ca="1">insertinto(A255:C255,$E$2:$F$4,"pr_Enrolments")</f>
        <v>insert into pr_Enrolments values ('20227388', 'CS 180', 5);</v>
      </c>
      <c r="G255">
        <v>252</v>
      </c>
    </row>
    <row r="256" spans="1:7" x14ac:dyDescent="0.15">
      <c r="A256" s="32">
        <f t="shared" si="9"/>
        <v>20227388</v>
      </c>
      <c r="B256" t="str">
        <f t="shared" si="10"/>
        <v>CS 105</v>
      </c>
      <c r="C256" s="14">
        <f t="shared" ca="1" si="11"/>
        <v>6</v>
      </c>
      <c r="D256" t="str" cm="1">
        <f t="array" aca="1" ref="D256" ca="1">insertinto(A256:C256,$E$2:$F$4,"pr_Enrolments")</f>
        <v>insert into pr_Enrolments values ('20227388', 'CS 105', 6);</v>
      </c>
      <c r="G256">
        <v>253</v>
      </c>
    </row>
    <row r="257" spans="1:7" x14ac:dyDescent="0.15">
      <c r="A257" s="32">
        <f t="shared" si="9"/>
        <v>20227388</v>
      </c>
      <c r="B257" t="str">
        <f t="shared" si="10"/>
        <v>ECO 110</v>
      </c>
      <c r="C257" s="14">
        <f t="shared" ca="1" si="11"/>
        <v>6</v>
      </c>
      <c r="D257" t="str" cm="1">
        <f t="array" aca="1" ref="D257" ca="1">insertinto(A257:C257,$E$2:$F$4,"pr_Enrolments")</f>
        <v>insert into pr_Enrolments values ('20227388', 'ECO 110', 6);</v>
      </c>
      <c r="G257">
        <v>254</v>
      </c>
    </row>
    <row r="258" spans="1:7" x14ac:dyDescent="0.15">
      <c r="A258" s="32">
        <f t="shared" ref="A258:A281" si="12">INDEX($H$3:$H$22,INT(G259/14)+1)</f>
        <v>20227388</v>
      </c>
      <c r="B258" t="str">
        <f t="shared" ref="B258:B281" si="13">INDEX($I$3:$I$16,MOD(G259,14)+1)</f>
        <v>MATH 120</v>
      </c>
      <c r="C258" s="14">
        <f t="shared" ca="1" si="11"/>
        <v>8</v>
      </c>
      <c r="D258" t="str" cm="1">
        <f t="array" aca="1" ref="D258" ca="1">insertinto(A258:C258,$E$2:$F$4,"pr_Enrolments")</f>
        <v>insert into pr_Enrolments values ('20227388', 'MATH 120', 8);</v>
      </c>
      <c r="G258">
        <v>255</v>
      </c>
    </row>
    <row r="259" spans="1:7" x14ac:dyDescent="0.15">
      <c r="A259" s="32">
        <f t="shared" si="12"/>
        <v>20227388</v>
      </c>
      <c r="B259" t="str">
        <f t="shared" si="13"/>
        <v>ENG 102</v>
      </c>
      <c r="C259" s="14">
        <f t="shared" ref="C259:C280" ca="1" si="14">RANDBETWEEN(1,10)</f>
        <v>5</v>
      </c>
      <c r="D259" t="str" cm="1">
        <f t="array" aca="1" ref="D259" ca="1">insertinto(A259:C259,$E$2:$F$4,"pr_Enrolments")</f>
        <v>insert into pr_Enrolments values ('20227388', 'ENG 102', 5);</v>
      </c>
      <c r="G259">
        <v>256</v>
      </c>
    </row>
    <row r="260" spans="1:7" x14ac:dyDescent="0.15">
      <c r="A260" s="32">
        <f t="shared" si="12"/>
        <v>20227388</v>
      </c>
      <c r="B260" t="str">
        <f t="shared" si="13"/>
        <v>CS 106</v>
      </c>
      <c r="C260" s="14">
        <f t="shared" ca="1" si="14"/>
        <v>6</v>
      </c>
      <c r="D260" t="str" cm="1">
        <f t="array" aca="1" ref="D260" ca="1">insertinto(A260:C260,$E$2:$F$4,"pr_Enrolments")</f>
        <v>insert into pr_Enrolments values ('20227388', 'CS 106', 6);</v>
      </c>
      <c r="G260">
        <v>257</v>
      </c>
    </row>
    <row r="261" spans="1:7" x14ac:dyDescent="0.15">
      <c r="A261" s="32">
        <f t="shared" si="12"/>
        <v>20227388</v>
      </c>
      <c r="B261" t="str">
        <f t="shared" si="13"/>
        <v>CS 107</v>
      </c>
      <c r="C261" s="14">
        <f t="shared" ca="1" si="14"/>
        <v>1</v>
      </c>
      <c r="D261" t="str" cm="1">
        <f t="array" aca="1" ref="D261" ca="1">insertinto(A261:C261,$E$2:$F$4,"pr_Enrolments")</f>
        <v>insert into pr_Enrolments values ('20227388', 'CS 107', 1);</v>
      </c>
      <c r="G261">
        <v>258</v>
      </c>
    </row>
    <row r="262" spans="1:7" x14ac:dyDescent="0.15">
      <c r="A262" s="32">
        <f t="shared" si="12"/>
        <v>20227388</v>
      </c>
      <c r="B262" t="str">
        <f t="shared" si="13"/>
        <v>ART 120</v>
      </c>
      <c r="C262" s="14">
        <f t="shared" ca="1" si="14"/>
        <v>5</v>
      </c>
      <c r="D262" t="str" cm="1">
        <f t="array" aca="1" ref="D262" ca="1">insertinto(A262:C262,$E$2:$F$4,"pr_Enrolments")</f>
        <v>insert into pr_Enrolments values ('20227388', 'ART 120', 5);</v>
      </c>
      <c r="G262">
        <v>259</v>
      </c>
    </row>
    <row r="263" spans="1:7" x14ac:dyDescent="0.15">
      <c r="A263" s="32">
        <f t="shared" si="12"/>
        <v>20227388</v>
      </c>
      <c r="B263" t="str">
        <f t="shared" si="13"/>
        <v>HIS 120</v>
      </c>
      <c r="C263" s="14">
        <f t="shared" ca="1" si="14"/>
        <v>8</v>
      </c>
      <c r="D263" t="str" cm="1">
        <f t="array" aca="1" ref="D263" ca="1">insertinto(A263:C263,$E$2:$F$4,"pr_Enrolments")</f>
        <v>insert into pr_Enrolments values ('20227388', 'HIS 120', 8);</v>
      </c>
      <c r="G263">
        <v>260</v>
      </c>
    </row>
    <row r="264" spans="1:7" x14ac:dyDescent="0.15">
      <c r="A264" s="32">
        <f t="shared" si="12"/>
        <v>20227388</v>
      </c>
      <c r="B264" t="str">
        <f t="shared" si="13"/>
        <v>PHIL 101</v>
      </c>
      <c r="C264" s="14">
        <f t="shared" ca="1" si="14"/>
        <v>1</v>
      </c>
      <c r="D264" t="str" cm="1">
        <f t="array" aca="1" ref="D264" ca="1">insertinto(A264:C264,$E$2:$F$4,"pr_Enrolments")</f>
        <v>insert into pr_Enrolments values ('20227388', 'PHIL 101', 1);</v>
      </c>
      <c r="G264">
        <v>261</v>
      </c>
    </row>
    <row r="265" spans="1:7" x14ac:dyDescent="0.15">
      <c r="A265" s="32">
        <f t="shared" si="12"/>
        <v>20227388</v>
      </c>
      <c r="B265" t="str">
        <f t="shared" si="13"/>
        <v>POL 101</v>
      </c>
      <c r="C265" s="14">
        <f t="shared" ca="1" si="14"/>
        <v>7</v>
      </c>
      <c r="D265" t="str" cm="1">
        <f t="array" aca="1" ref="D265" ca="1">insertinto(A265:C265,$E$2:$F$4,"pr_Enrolments")</f>
        <v>insert into pr_Enrolments values ('20227388', 'POL 101', 7);</v>
      </c>
      <c r="G265">
        <v>262</v>
      </c>
    </row>
    <row r="266" spans="1:7" x14ac:dyDescent="0.15">
      <c r="A266" s="32">
        <f t="shared" si="12"/>
        <v>20227388</v>
      </c>
      <c r="B266" t="str">
        <f t="shared" si="13"/>
        <v>CS 205</v>
      </c>
      <c r="C266" s="14">
        <f t="shared" ca="1" si="14"/>
        <v>2</v>
      </c>
      <c r="D266" t="str" cm="1">
        <f t="array" aca="1" ref="D266" ca="1">insertinto(A266:C266,$E$2:$F$4,"pr_Enrolments")</f>
        <v>insert into pr_Enrolments values ('20227388', 'CS 205', 2);</v>
      </c>
      <c r="G266">
        <v>263</v>
      </c>
    </row>
    <row r="267" spans="1:7" x14ac:dyDescent="0.15">
      <c r="A267" s="32">
        <f t="shared" si="12"/>
        <v>20227388</v>
      </c>
      <c r="B267" t="str">
        <f t="shared" si="13"/>
        <v>CS 215</v>
      </c>
      <c r="C267" s="14">
        <f t="shared" ca="1" si="14"/>
        <v>8</v>
      </c>
      <c r="D267" t="str" cm="1">
        <f t="array" aca="1" ref="D267" ca="1">insertinto(A267:C267,$E$2:$F$4,"pr_Enrolments")</f>
        <v>insert into pr_Enrolments values ('20227388', 'CS 215', 8);</v>
      </c>
      <c r="G267">
        <v>264</v>
      </c>
    </row>
    <row r="268" spans="1:7" x14ac:dyDescent="0.15">
      <c r="A268" s="32">
        <f t="shared" si="12"/>
        <v>20223671</v>
      </c>
      <c r="B268" t="str">
        <f t="shared" si="13"/>
        <v>ENG 101</v>
      </c>
      <c r="C268" s="14">
        <f t="shared" ca="1" si="14"/>
        <v>6</v>
      </c>
      <c r="D268" t="str" cm="1">
        <f t="array" aca="1" ref="D268" ca="1">insertinto(A268:C268,$E$2:$F$4,"pr_Enrolments")</f>
        <v>insert into pr_Enrolments values ('20223671', 'ENG 101', 6);</v>
      </c>
      <c r="G268">
        <v>265</v>
      </c>
    </row>
    <row r="269" spans="1:7" x14ac:dyDescent="0.15">
      <c r="A269" s="32">
        <f t="shared" si="12"/>
        <v>20223671</v>
      </c>
      <c r="B269" t="str">
        <f t="shared" si="13"/>
        <v>CS 180</v>
      </c>
      <c r="C269" s="14">
        <f t="shared" ca="1" si="14"/>
        <v>6</v>
      </c>
      <c r="D269" t="str" cm="1">
        <f t="array" aca="1" ref="D269" ca="1">insertinto(A269:C269,$E$2:$F$4,"pr_Enrolments")</f>
        <v>insert into pr_Enrolments values ('20223671', 'CS 180', 6);</v>
      </c>
      <c r="G269">
        <v>266</v>
      </c>
    </row>
    <row r="270" spans="1:7" x14ac:dyDescent="0.15">
      <c r="A270" s="32">
        <f t="shared" si="12"/>
        <v>20223671</v>
      </c>
      <c r="B270" t="str">
        <f t="shared" si="13"/>
        <v>CS 105</v>
      </c>
      <c r="C270" s="14">
        <f t="shared" ca="1" si="14"/>
        <v>4</v>
      </c>
      <c r="D270" t="str" cm="1">
        <f t="array" aca="1" ref="D270" ca="1">insertinto(A270:C270,$E$2:$F$4,"pr_Enrolments")</f>
        <v>insert into pr_Enrolments values ('20223671', 'CS 105', 4);</v>
      </c>
      <c r="G270">
        <v>267</v>
      </c>
    </row>
    <row r="271" spans="1:7" x14ac:dyDescent="0.15">
      <c r="A271" s="32">
        <f t="shared" si="12"/>
        <v>20223671</v>
      </c>
      <c r="B271" t="str">
        <f t="shared" si="13"/>
        <v>ECO 110</v>
      </c>
      <c r="C271" s="14">
        <f t="shared" ca="1" si="14"/>
        <v>7</v>
      </c>
      <c r="D271" t="str" cm="1">
        <f t="array" aca="1" ref="D271" ca="1">insertinto(A271:C271,$E$2:$F$4,"pr_Enrolments")</f>
        <v>insert into pr_Enrolments values ('20223671', 'ECO 110', 7);</v>
      </c>
      <c r="G271">
        <v>268</v>
      </c>
    </row>
    <row r="272" spans="1:7" x14ac:dyDescent="0.15">
      <c r="A272" s="32">
        <f t="shared" si="12"/>
        <v>20223671</v>
      </c>
      <c r="B272" t="str">
        <f t="shared" si="13"/>
        <v>MATH 120</v>
      </c>
      <c r="C272" s="14">
        <f t="shared" ca="1" si="14"/>
        <v>10</v>
      </c>
      <c r="D272" t="str" cm="1">
        <f t="array" aca="1" ref="D272" ca="1">insertinto(A272:C272,$E$2:$F$4,"pr_Enrolments")</f>
        <v>insert into pr_Enrolments values ('20223671', 'MATH 120', 10);</v>
      </c>
      <c r="G272">
        <v>269</v>
      </c>
    </row>
    <row r="273" spans="1:7" x14ac:dyDescent="0.15">
      <c r="A273" s="32">
        <f t="shared" si="12"/>
        <v>20223671</v>
      </c>
      <c r="B273" t="str">
        <f t="shared" si="13"/>
        <v>ENG 102</v>
      </c>
      <c r="C273" s="14">
        <f t="shared" ca="1" si="14"/>
        <v>8</v>
      </c>
      <c r="D273" t="str" cm="1">
        <f t="array" aca="1" ref="D273" ca="1">insertinto(A273:C273,$E$2:$F$4,"pr_Enrolments")</f>
        <v>insert into pr_Enrolments values ('20223671', 'ENG 102', 8);</v>
      </c>
      <c r="G273">
        <v>270</v>
      </c>
    </row>
    <row r="274" spans="1:7" x14ac:dyDescent="0.15">
      <c r="A274" s="32">
        <f t="shared" si="12"/>
        <v>20223671</v>
      </c>
      <c r="B274" t="str">
        <f t="shared" si="13"/>
        <v>CS 106</v>
      </c>
      <c r="C274" s="14">
        <f t="shared" ca="1" si="14"/>
        <v>1</v>
      </c>
      <c r="D274" t="str" cm="1">
        <f t="array" aca="1" ref="D274" ca="1">insertinto(A274:C274,$E$2:$F$4,"pr_Enrolments")</f>
        <v>insert into pr_Enrolments values ('20223671', 'CS 106', 1);</v>
      </c>
      <c r="G274">
        <v>271</v>
      </c>
    </row>
    <row r="275" spans="1:7" x14ac:dyDescent="0.15">
      <c r="A275" s="32">
        <f t="shared" si="12"/>
        <v>20223671</v>
      </c>
      <c r="B275" t="str">
        <f t="shared" si="13"/>
        <v>CS 107</v>
      </c>
      <c r="C275" s="14">
        <f t="shared" ca="1" si="14"/>
        <v>2</v>
      </c>
      <c r="D275" t="str" cm="1">
        <f t="array" aca="1" ref="D275" ca="1">insertinto(A275:C275,$E$2:$F$4,"pr_Enrolments")</f>
        <v>insert into pr_Enrolments values ('20223671', 'CS 107', 2);</v>
      </c>
      <c r="G275">
        <v>272</v>
      </c>
    </row>
    <row r="276" spans="1:7" x14ac:dyDescent="0.15">
      <c r="A276" s="32">
        <f t="shared" si="12"/>
        <v>20223671</v>
      </c>
      <c r="B276" t="str">
        <f t="shared" si="13"/>
        <v>ART 120</v>
      </c>
      <c r="C276" s="14">
        <f t="shared" ca="1" si="14"/>
        <v>6</v>
      </c>
      <c r="D276" t="str" cm="1">
        <f t="array" aca="1" ref="D276" ca="1">insertinto(A276:C276,$E$2:$F$4,"pr_Enrolments")</f>
        <v>insert into pr_Enrolments values ('20223671', 'ART 120', 6);</v>
      </c>
      <c r="G276">
        <v>273</v>
      </c>
    </row>
    <row r="277" spans="1:7" x14ac:dyDescent="0.15">
      <c r="A277" s="32">
        <f t="shared" si="12"/>
        <v>20223671</v>
      </c>
      <c r="B277" t="str">
        <f t="shared" si="13"/>
        <v>HIS 120</v>
      </c>
      <c r="C277" s="14">
        <f t="shared" ca="1" si="14"/>
        <v>5</v>
      </c>
      <c r="D277" t="str" cm="1">
        <f t="array" aca="1" ref="D277" ca="1">insertinto(A277:C277,$E$2:$F$4,"pr_Enrolments")</f>
        <v>insert into pr_Enrolments values ('20223671', 'HIS 120', 5);</v>
      </c>
      <c r="G277">
        <v>274</v>
      </c>
    </row>
    <row r="278" spans="1:7" x14ac:dyDescent="0.15">
      <c r="A278" s="32">
        <f t="shared" si="12"/>
        <v>20223671</v>
      </c>
      <c r="B278" t="str">
        <f t="shared" si="13"/>
        <v>PHIL 101</v>
      </c>
      <c r="C278" s="14">
        <f t="shared" ca="1" si="14"/>
        <v>2</v>
      </c>
      <c r="D278" t="str" cm="1">
        <f t="array" aca="1" ref="D278" ca="1">insertinto(A278:C278,$E$2:$F$4,"pr_Enrolments")</f>
        <v>insert into pr_Enrolments values ('20223671', 'PHIL 101', 2);</v>
      </c>
      <c r="G278">
        <v>275</v>
      </c>
    </row>
    <row r="279" spans="1:7" x14ac:dyDescent="0.15">
      <c r="A279" s="32">
        <f t="shared" si="12"/>
        <v>20223671</v>
      </c>
      <c r="B279" t="str">
        <f t="shared" si="13"/>
        <v>POL 101</v>
      </c>
      <c r="C279" s="14">
        <f t="shared" ca="1" si="14"/>
        <v>3</v>
      </c>
      <c r="D279" t="str" cm="1">
        <f t="array" aca="1" ref="D279" ca="1">insertinto(A279:C279,$E$2:$F$4,"pr_Enrolments")</f>
        <v>insert into pr_Enrolments values ('20223671', 'POL 101', 3);</v>
      </c>
      <c r="G279">
        <v>276</v>
      </c>
    </row>
    <row r="280" spans="1:7" x14ac:dyDescent="0.15">
      <c r="A280" s="32">
        <f t="shared" si="12"/>
        <v>20223671</v>
      </c>
      <c r="B280" t="str">
        <f t="shared" si="13"/>
        <v>CS 205</v>
      </c>
      <c r="C280" s="14">
        <f t="shared" ca="1" si="14"/>
        <v>1</v>
      </c>
      <c r="D280" t="str" cm="1">
        <f t="array" aca="1" ref="D280" ca="1">insertinto(A280:C280,$E$2:$F$4,"pr_Enrolments")</f>
        <v>insert into pr_Enrolments values ('20223671', 'CS 205', 1);</v>
      </c>
      <c r="G280">
        <v>277</v>
      </c>
    </row>
    <row r="281" spans="1:7" x14ac:dyDescent="0.15">
      <c r="A281" s="32">
        <f t="shared" si="12"/>
        <v>20223671</v>
      </c>
      <c r="B281" t="str">
        <f t="shared" si="13"/>
        <v>CS 215</v>
      </c>
      <c r="C281" s="14">
        <v>12</v>
      </c>
      <c r="D281" t="str" cm="1">
        <f t="array" ref="D281">insertinto(A281:C281,$E$2:$F$4,"pr_Enrolments")</f>
        <v>insert into pr_Enrolments values ('20223671', 'CS 215', 12);</v>
      </c>
      <c r="G281">
        <v>278</v>
      </c>
    </row>
    <row r="282" spans="1:7" x14ac:dyDescent="0.15">
      <c r="G282">
        <v>279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B9F6A0-060B-9141-9F78-B4E1BBC2069D}">
  <dimension ref="A1:M15"/>
  <sheetViews>
    <sheetView zoomScale="125" workbookViewId="0">
      <selection activeCell="H9" sqref="H9"/>
    </sheetView>
  </sheetViews>
  <sheetFormatPr baseColWidth="10" defaultRowHeight="13" x14ac:dyDescent="0.15"/>
  <cols>
    <col min="1" max="1" width="12.6640625" bestFit="1" customWidth="1"/>
    <col min="3" max="4" width="12.83203125" customWidth="1"/>
    <col min="5" max="5" width="26.1640625" bestFit="1" customWidth="1"/>
    <col min="6" max="6" width="16" bestFit="1" customWidth="1"/>
    <col min="7" max="7" width="16.33203125" bestFit="1" customWidth="1"/>
    <col min="8" max="8" width="12.83203125" bestFit="1" customWidth="1"/>
    <col min="9" max="9" width="5" bestFit="1" customWidth="1"/>
    <col min="10" max="10" width="121.5" bestFit="1" customWidth="1"/>
  </cols>
  <sheetData>
    <row r="1" spans="1:13" ht="14" x14ac:dyDescent="0.15">
      <c r="A1" s="19" t="s">
        <v>4181</v>
      </c>
      <c r="B1" s="20" t="s">
        <v>4134</v>
      </c>
      <c r="C1" s="20" t="s">
        <v>4139</v>
      </c>
      <c r="D1" s="20" t="s">
        <v>4138</v>
      </c>
      <c r="E1" s="20" t="s">
        <v>4182</v>
      </c>
      <c r="F1" s="20" t="s">
        <v>4183</v>
      </c>
      <c r="G1" s="20" t="s">
        <v>4137</v>
      </c>
      <c r="H1" s="22" t="s">
        <v>4335</v>
      </c>
      <c r="I1" s="20" t="s">
        <v>4198</v>
      </c>
      <c r="M1" s="14" t="s">
        <v>4132</v>
      </c>
    </row>
    <row r="2" spans="1:13" x14ac:dyDescent="0.15">
      <c r="A2" s="14" t="s">
        <v>4233</v>
      </c>
      <c r="B2" t="s">
        <v>4133</v>
      </c>
      <c r="C2" t="s">
        <v>1261</v>
      </c>
      <c r="D2" t="s">
        <v>2980</v>
      </c>
      <c r="E2" s="14" t="s">
        <v>4179</v>
      </c>
      <c r="F2" t="s">
        <v>4289</v>
      </c>
      <c r="G2">
        <v>2310626728</v>
      </c>
      <c r="J2" t="str" cm="1">
        <f t="array" ref="J2">insertinto(A2:I2,$K$2:$L$10,"pr_Professors")</f>
        <v>insert into pr_Professors values ('PROF-1', 'F', 'Silva', 'Peggie', 'Humanities and Social Sciences', 'Silva@act.edu', '2310626728', null, null);</v>
      </c>
      <c r="K2" s="14" t="s">
        <v>4181</v>
      </c>
      <c r="L2" s="14" t="s">
        <v>4231</v>
      </c>
      <c r="M2" s="14" t="s">
        <v>4133</v>
      </c>
    </row>
    <row r="3" spans="1:13" x14ac:dyDescent="0.15">
      <c r="A3" s="14" t="s">
        <v>4236</v>
      </c>
      <c r="B3" t="s">
        <v>4132</v>
      </c>
      <c r="C3" t="s">
        <v>689</v>
      </c>
      <c r="D3" t="s">
        <v>3678</v>
      </c>
      <c r="E3" s="14" t="s">
        <v>4179</v>
      </c>
      <c r="F3" t="s">
        <v>4290</v>
      </c>
      <c r="G3">
        <v>2310491489</v>
      </c>
      <c r="H3" s="14" t="s">
        <v>4233</v>
      </c>
      <c r="J3" t="str" cm="1">
        <f t="array" ref="J3">insertinto(A3:I3,$K$2:$L$10,"pr_Professors")</f>
        <v>insert into pr_Professors values ('PROF-2', 'M', 'Cheney', 'Domingo', 'Humanities and Social Sciences', 'Cheney@act.edu', '2310491489', 'PROF-1', null);</v>
      </c>
      <c r="K3" s="14" t="s">
        <v>4134</v>
      </c>
      <c r="L3" s="14" t="s">
        <v>4231</v>
      </c>
    </row>
    <row r="4" spans="1:13" x14ac:dyDescent="0.15">
      <c r="A4" s="14" t="s">
        <v>4235</v>
      </c>
      <c r="B4" t="s">
        <v>4133</v>
      </c>
      <c r="C4" t="s">
        <v>760</v>
      </c>
      <c r="D4" t="s">
        <v>3136</v>
      </c>
      <c r="E4" s="14" t="s">
        <v>4179</v>
      </c>
      <c r="F4" t="s">
        <v>4291</v>
      </c>
      <c r="G4">
        <v>2310461057</v>
      </c>
      <c r="H4" s="14" t="s">
        <v>4236</v>
      </c>
      <c r="J4" t="str" cm="1">
        <f t="array" ref="J4">insertinto(A4:I4,$K$2:$L$10,"pr_Professors")</f>
        <v>insert into pr_Professors values ('PROF-3', 'F', 'Galis', 'Kathlene', 'Humanities and Social Sciences', 'Galis@act.edu', '2310461057', 'PROF-2', null);</v>
      </c>
      <c r="K4" s="14" t="s">
        <v>4139</v>
      </c>
      <c r="L4" s="14" t="s">
        <v>4231</v>
      </c>
    </row>
    <row r="5" spans="1:13" x14ac:dyDescent="0.15">
      <c r="A5" s="14" t="s">
        <v>4237</v>
      </c>
      <c r="B5" t="s">
        <v>4133</v>
      </c>
      <c r="C5" t="s">
        <v>1487</v>
      </c>
      <c r="D5" t="s">
        <v>1604</v>
      </c>
      <c r="E5" s="14" t="s">
        <v>4179</v>
      </c>
      <c r="F5" t="s">
        <v>4292</v>
      </c>
      <c r="G5">
        <v>2310426078</v>
      </c>
      <c r="H5" s="14" t="s">
        <v>4236</v>
      </c>
      <c r="J5" t="str" cm="1">
        <f t="array" ref="J5">insertinto(A5:I5,$K$2:$L$10,"pr_Professors")</f>
        <v>insert into pr_Professors values ('PROF-4', 'F', 'Stokes', 'Golden', 'Humanities and Social Sciences', 'Stokes@act.edu', '2310426078', 'PROF-2', null);</v>
      </c>
      <c r="K5" s="14" t="s">
        <v>4138</v>
      </c>
      <c r="L5" s="14" t="s">
        <v>4231</v>
      </c>
    </row>
    <row r="6" spans="1:13" x14ac:dyDescent="0.15">
      <c r="A6" s="14" t="s">
        <v>4238</v>
      </c>
      <c r="B6" t="s">
        <v>4132</v>
      </c>
      <c r="C6" t="s">
        <v>2783</v>
      </c>
      <c r="D6" t="s">
        <v>132</v>
      </c>
      <c r="E6" s="14" t="s">
        <v>4179</v>
      </c>
      <c r="F6" t="s">
        <v>4293</v>
      </c>
      <c r="G6">
        <v>2310429157</v>
      </c>
      <c r="H6" s="14" t="s">
        <v>4236</v>
      </c>
      <c r="J6" t="str" cm="1">
        <f t="array" ref="J6">insertinto(A6:I6,$K$2:$L$10,"pr_Professors")</f>
        <v>insert into pr_Professors values ('PROF-5', 'M', 'Greco', 'Chuck', 'Humanities and Social Sciences', 'Greco@act.edu', '2310429157', 'PROF-2', null);</v>
      </c>
      <c r="K6" s="14" t="s">
        <v>4182</v>
      </c>
      <c r="L6" s="14" t="s">
        <v>4231</v>
      </c>
    </row>
    <row r="7" spans="1:13" x14ac:dyDescent="0.15">
      <c r="A7" s="14" t="s">
        <v>4239</v>
      </c>
      <c r="B7" t="s">
        <v>4132</v>
      </c>
      <c r="C7" t="s">
        <v>131</v>
      </c>
      <c r="D7" t="s">
        <v>3764</v>
      </c>
      <c r="E7" s="14" t="s">
        <v>4179</v>
      </c>
      <c r="F7" t="s">
        <v>4294</v>
      </c>
      <c r="G7">
        <v>2310421098</v>
      </c>
      <c r="H7" s="14" t="s">
        <v>4238</v>
      </c>
      <c r="J7" t="str" cm="1">
        <f t="array" ref="J7">insertinto(A7:I7,$K$2:$L$10,"pr_Professors")</f>
        <v>insert into pr_Professors values ('PROF-6', 'M', 'Charles', 'Moshe', 'Humanities and Social Sciences', 'Charles@act.edu', '2310421098', 'PROF-5', null);</v>
      </c>
      <c r="K7" s="14" t="s">
        <v>4183</v>
      </c>
      <c r="L7" s="14" t="s">
        <v>4231</v>
      </c>
    </row>
    <row r="8" spans="1:13" x14ac:dyDescent="0.15">
      <c r="A8" s="14" t="s">
        <v>4240</v>
      </c>
      <c r="B8" t="s">
        <v>4133</v>
      </c>
      <c r="C8" t="s">
        <v>1382</v>
      </c>
      <c r="D8" t="s">
        <v>3034</v>
      </c>
      <c r="E8" s="14" t="s">
        <v>4179</v>
      </c>
      <c r="F8" t="s">
        <v>4295</v>
      </c>
      <c r="G8">
        <v>2310517161</v>
      </c>
      <c r="H8" s="14" t="s">
        <v>4235</v>
      </c>
      <c r="J8" t="str" cm="1">
        <f t="array" ref="J8">insertinto(A8:I8,$K$2:$L$10,"pr_Professors")</f>
        <v>insert into pr_Professors values ('PROF-7', 'F', 'Ball', 'Marianne', 'Humanities and Social Sciences', 'Ball@act.edu', '2310517161', 'PROF-3', null);</v>
      </c>
      <c r="K8" s="14" t="s">
        <v>4137</v>
      </c>
      <c r="L8" s="14" t="s">
        <v>4231</v>
      </c>
    </row>
    <row r="9" spans="1:13" x14ac:dyDescent="0.15">
      <c r="A9" s="14" t="s">
        <v>4241</v>
      </c>
      <c r="B9" s="14" t="s">
        <v>4133</v>
      </c>
      <c r="C9" s="14" t="s">
        <v>862</v>
      </c>
      <c r="D9" s="14" t="s">
        <v>520</v>
      </c>
      <c r="E9" s="14" t="s">
        <v>4179</v>
      </c>
      <c r="F9" t="s">
        <v>4328</v>
      </c>
      <c r="G9">
        <v>2310379929</v>
      </c>
      <c r="H9" s="14" t="s">
        <v>4238</v>
      </c>
      <c r="J9" t="str" cm="1">
        <f t="array" ref="J9">insertinto(A9:I9,$K$2:$L$10,"pr_Professors")</f>
        <v>insert into pr_Professors values ('PROF-8', 'F', 'Mary', 'Smith', 'Humanities and Social Sciences', 'Mary@act.edu', '2310379929', 'PROF-5', null);</v>
      </c>
      <c r="K9" s="14" t="s">
        <v>4335</v>
      </c>
      <c r="L9" s="14" t="s">
        <v>4231</v>
      </c>
    </row>
    <row r="10" spans="1:13" x14ac:dyDescent="0.15">
      <c r="A10" s="14" t="s">
        <v>4242</v>
      </c>
      <c r="B10" t="s">
        <v>4133</v>
      </c>
      <c r="C10" t="s">
        <v>2751</v>
      </c>
      <c r="D10" t="s">
        <v>3533</v>
      </c>
      <c r="E10" s="14" t="s">
        <v>4180</v>
      </c>
      <c r="F10" t="s">
        <v>4296</v>
      </c>
      <c r="G10">
        <v>2310553307</v>
      </c>
      <c r="H10" s="14" t="s">
        <v>4233</v>
      </c>
      <c r="J10" t="str" cm="1">
        <f t="array" ref="J10">insertinto(A10:I10,$K$2:$L$10,"pr_Professors")</f>
        <v>insert into pr_Professors values ('PROF-9', 'F', 'Zimmer', 'Selina', 'Science and Technology', 'Zimmer@act.edu', '2310553307', 'PROF-1', null);</v>
      </c>
      <c r="K10" s="14" t="s">
        <v>4198</v>
      </c>
      <c r="L10" s="14" t="s">
        <v>4231</v>
      </c>
    </row>
    <row r="11" spans="1:13" x14ac:dyDescent="0.15">
      <c r="A11" s="14" t="s">
        <v>4243</v>
      </c>
      <c r="B11" t="s">
        <v>4132</v>
      </c>
      <c r="C11" t="s">
        <v>591</v>
      </c>
      <c r="D11" t="s">
        <v>1231</v>
      </c>
      <c r="E11" s="14" t="s">
        <v>4180</v>
      </c>
      <c r="F11" t="s">
        <v>4297</v>
      </c>
      <c r="G11">
        <v>2310542451</v>
      </c>
      <c r="H11" s="14" t="s">
        <v>4242</v>
      </c>
      <c r="J11" t="str" cm="1">
        <f t="array" ref="J11">insertinto(A11:I11,$K$2:$L$10,"pr_Professors")</f>
        <v>insert into pr_Professors values ('PROF-10', 'M', 'Honeywell', 'Warren', 'Science and Technology', 'Honeywell@act.edu', '2310542451', 'PROF-9', null);</v>
      </c>
    </row>
    <row r="12" spans="1:13" x14ac:dyDescent="0.15">
      <c r="A12" s="14" t="s">
        <v>4244</v>
      </c>
      <c r="B12" t="s">
        <v>4133</v>
      </c>
      <c r="C12" t="s">
        <v>2463</v>
      </c>
      <c r="D12" t="s">
        <v>3171</v>
      </c>
      <c r="E12" s="14" t="s">
        <v>4180</v>
      </c>
      <c r="F12" t="s">
        <v>4298</v>
      </c>
      <c r="G12">
        <v>2310430711</v>
      </c>
      <c r="H12" s="14" t="s">
        <v>4242</v>
      </c>
      <c r="J12" t="str" cm="1">
        <f t="array" ref="J12">insertinto(A12:I12,$K$2:$L$10,"pr_Professors")</f>
        <v>insert into pr_Professors values ('PROF-11', 'F', 'Dahl', 'Lakesha', 'Science and Technology', 'Dahl@act.edu', '2310430711', 'PROF-9', null);</v>
      </c>
    </row>
    <row r="13" spans="1:13" x14ac:dyDescent="0.15">
      <c r="A13" s="14" t="s">
        <v>4234</v>
      </c>
      <c r="B13" t="s">
        <v>4133</v>
      </c>
      <c r="C13" t="s">
        <v>1570</v>
      </c>
      <c r="D13" t="s">
        <v>3491</v>
      </c>
      <c r="E13" s="14" t="s">
        <v>4180</v>
      </c>
      <c r="F13" t="s">
        <v>4299</v>
      </c>
      <c r="G13">
        <v>2310753661</v>
      </c>
      <c r="H13" s="14" t="s">
        <v>4242</v>
      </c>
      <c r="J13" t="str" cm="1">
        <f t="array" ref="J13">insertinto(A13:I13,$K$2:$L$10,"pr_Professors")</f>
        <v>insert into pr_Professors values ('PROF-12', 'F', 'Garrison', 'Angla', 'Science and Technology', 'Garrison@act.edu', '2310753661', 'PROF-9', null);</v>
      </c>
    </row>
    <row r="14" spans="1:13" x14ac:dyDescent="0.15">
      <c r="A14" s="14" t="s">
        <v>4245</v>
      </c>
      <c r="B14" t="s">
        <v>4132</v>
      </c>
      <c r="C14" t="s">
        <v>2092</v>
      </c>
      <c r="D14" t="s">
        <v>127</v>
      </c>
      <c r="E14" s="14" t="s">
        <v>4180</v>
      </c>
      <c r="F14" t="s">
        <v>4300</v>
      </c>
      <c r="G14">
        <v>2310592571</v>
      </c>
      <c r="H14" s="14" t="s">
        <v>4243</v>
      </c>
      <c r="J14" t="str" cm="1">
        <f t="array" ref="J14">insertinto(A14:I14,$K$2:$L$10,"pr_Professors")</f>
        <v>insert into pr_Professors values ('PROF-13', 'M', 'Womack', 'Bruce', 'Science and Technology', 'Womack@act.edu', '2310592571', 'PROF-10', null);</v>
      </c>
    </row>
    <row r="15" spans="1:13" x14ac:dyDescent="0.15">
      <c r="A15" s="14" t="s">
        <v>4327</v>
      </c>
      <c r="B15" t="s">
        <v>4133</v>
      </c>
      <c r="C15" t="s">
        <v>1566</v>
      </c>
      <c r="D15" t="s">
        <v>947</v>
      </c>
      <c r="E15" s="14" t="s">
        <v>4180</v>
      </c>
      <c r="F15" t="s">
        <v>4301</v>
      </c>
      <c r="G15">
        <v>2310430671</v>
      </c>
      <c r="H15" s="14" t="s">
        <v>4245</v>
      </c>
      <c r="J15" t="str" cm="1">
        <f t="array" ref="J15">insertinto(A15:I15,$K$2:$L$10,"pr_Professors")</f>
        <v>insert into pr_Professors values ('PROF-14', 'F', 'Foley', 'Samantha', 'Science and Technology', 'Foley@act.edu', '2310430671', 'PROF-13', null);</v>
      </c>
    </row>
  </sheetData>
  <phoneticPr fontId="28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E19B29-A3FE-EB42-AEA9-497B14BD7916}">
  <dimension ref="A1:I35"/>
  <sheetViews>
    <sheetView tabSelected="1" zoomScale="132" workbookViewId="0">
      <selection activeCell="F36" sqref="F36"/>
    </sheetView>
  </sheetViews>
  <sheetFormatPr baseColWidth="10" defaultRowHeight="13" x14ac:dyDescent="0.15"/>
  <cols>
    <col min="1" max="1" width="12.5" customWidth="1"/>
    <col min="2" max="2" width="22.83203125" bestFit="1" customWidth="1"/>
    <col min="3" max="3" width="11.83203125" bestFit="1" customWidth="1"/>
    <col min="4" max="4" width="16.5" bestFit="1" customWidth="1"/>
    <col min="5" max="5" width="16.5" style="27" bestFit="1" customWidth="1"/>
    <col min="6" max="6" width="77" bestFit="1" customWidth="1"/>
    <col min="7" max="7" width="15.6640625" bestFit="1" customWidth="1"/>
    <col min="8" max="8" width="7.1640625" bestFit="1" customWidth="1"/>
  </cols>
  <sheetData>
    <row r="1" spans="1:9" x14ac:dyDescent="0.15">
      <c r="A1" s="21" t="s">
        <v>4204</v>
      </c>
      <c r="B1" s="22" t="s">
        <v>4186</v>
      </c>
      <c r="C1" s="23" t="s">
        <v>4174</v>
      </c>
      <c r="D1" s="26" t="s">
        <v>4199</v>
      </c>
      <c r="E1" s="26" t="s">
        <v>4246</v>
      </c>
    </row>
    <row r="2" spans="1:9" x14ac:dyDescent="0.15">
      <c r="A2" s="14" t="str">
        <f t="shared" ref="A2:A35" si="0" xml:space="preserve"> "T-"&amp;TEXT(I2,"00")</f>
        <v>T-00</v>
      </c>
      <c r="B2" s="14" t="s">
        <v>4208</v>
      </c>
      <c r="C2" t="str">
        <f xml:space="preserve"> VLOOKUP(Courses!A2,Courses!A:D,1,0)</f>
        <v>ENG 101</v>
      </c>
      <c r="D2" s="32">
        <v>10</v>
      </c>
      <c r="E2" s="35">
        <v>44875</v>
      </c>
      <c r="F2" t="str" cm="1">
        <f t="array" ref="F2">insertinto(A2:E2,$G$2:$H$6,"pr_Assignments_Tests")</f>
        <v>insert into pr_Assignments_Tests values ('T-00', 'Essay 1', 'ENG 101', 10, '10-Nov-2022');</v>
      </c>
      <c r="G2" s="14" t="s">
        <v>4216</v>
      </c>
      <c r="H2" s="14" t="s">
        <v>4231</v>
      </c>
      <c r="I2">
        <v>0</v>
      </c>
    </row>
    <row r="3" spans="1:9" x14ac:dyDescent="0.15">
      <c r="A3" s="14" t="str">
        <f t="shared" si="0"/>
        <v>T-01</v>
      </c>
      <c r="B3" s="14" t="s">
        <v>4209</v>
      </c>
      <c r="C3" t="str">
        <f xml:space="preserve"> VLOOKUP(Courses!A2,Courses!A:D,1,0)</f>
        <v>ENG 101</v>
      </c>
      <c r="D3" s="32">
        <v>10</v>
      </c>
      <c r="E3" s="35">
        <v>44882</v>
      </c>
      <c r="F3" t="str" cm="1">
        <f t="array" ref="F3">insertinto(A3:E3,$G$2:$H$6,"pr_Assignments_Tests")</f>
        <v>insert into pr_Assignments_Tests values ('T-01', 'Essay 2', 'ENG 101', 10, '17-Nov-2022');</v>
      </c>
      <c r="G3" s="14" t="s">
        <v>4186</v>
      </c>
      <c r="H3" s="14" t="s">
        <v>4231</v>
      </c>
      <c r="I3">
        <v>1</v>
      </c>
    </row>
    <row r="4" spans="1:9" x14ac:dyDescent="0.15">
      <c r="A4" s="14" t="str">
        <f t="shared" si="0"/>
        <v>T-02</v>
      </c>
      <c r="B4" s="14" t="s">
        <v>4210</v>
      </c>
      <c r="C4" t="str">
        <f xml:space="preserve"> VLOOKUP(Courses!A2,Courses!A:D,1,0)</f>
        <v>ENG 101</v>
      </c>
      <c r="D4" s="32">
        <v>10</v>
      </c>
      <c r="E4" s="35">
        <v>44905</v>
      </c>
      <c r="F4" t="str" cm="1">
        <f t="array" ref="F4">insertinto(A4:E4,$G$2:$H$6,"pr_Assignments_Tests")</f>
        <v>insert into pr_Assignments_Tests values ('T-02', 'Essay 3', 'ENG 101', 10, '10-Dec-2022');</v>
      </c>
      <c r="G4" s="14" t="s">
        <v>4174</v>
      </c>
      <c r="H4" s="14" t="s">
        <v>4231</v>
      </c>
      <c r="I4">
        <v>2</v>
      </c>
    </row>
    <row r="5" spans="1:9" x14ac:dyDescent="0.15">
      <c r="A5" s="14" t="str">
        <f t="shared" si="0"/>
        <v>T-03</v>
      </c>
      <c r="B5" s="14" t="s">
        <v>4211</v>
      </c>
      <c r="C5" t="str">
        <f xml:space="preserve"> VLOOKUP(Courses!A2,Courses!A:D,1,0)</f>
        <v>ENG 101</v>
      </c>
      <c r="D5" s="32">
        <v>10</v>
      </c>
      <c r="E5" s="35">
        <v>44912</v>
      </c>
      <c r="F5" t="str" cm="1">
        <f t="array" ref="F5">insertinto(A5:E5,$G$2:$H$6,"pr_Assignments_Tests")</f>
        <v>insert into pr_Assignments_Tests values ('T-03', 'Essay 4', 'ENG 101', 10, '17-Dec-2022');</v>
      </c>
      <c r="G5" s="14" t="s">
        <v>4199</v>
      </c>
      <c r="H5" s="14" t="s">
        <v>4232</v>
      </c>
      <c r="I5">
        <v>3</v>
      </c>
    </row>
    <row r="6" spans="1:9" x14ac:dyDescent="0.15">
      <c r="A6" s="14" t="str">
        <f t="shared" si="0"/>
        <v>T-04</v>
      </c>
      <c r="B6" s="14" t="s">
        <v>4212</v>
      </c>
      <c r="C6" t="str">
        <f xml:space="preserve"> VLOOKUP(Courses!A3,Courses!A:D,1,0)</f>
        <v>CS 180</v>
      </c>
      <c r="D6" s="32">
        <v>10</v>
      </c>
      <c r="E6" s="35">
        <v>44883</v>
      </c>
      <c r="F6" t="str" cm="1">
        <f t="array" ref="F6">insertinto(A6:E6,$G$2:$H$6,"pr_Assignments_Tests")</f>
        <v>insert into pr_Assignments_Tests values ('T-04', 'Test 1', 'CS 180', 10, '18-Nov-2022');</v>
      </c>
      <c r="G6" s="14" t="s">
        <v>4246</v>
      </c>
      <c r="H6" s="14" t="s">
        <v>4201</v>
      </c>
      <c r="I6">
        <v>4</v>
      </c>
    </row>
    <row r="7" spans="1:9" x14ac:dyDescent="0.15">
      <c r="A7" s="14" t="str">
        <f t="shared" si="0"/>
        <v>T-05</v>
      </c>
      <c r="B7" s="14" t="s">
        <v>4213</v>
      </c>
      <c r="C7" t="str">
        <f xml:space="preserve"> VLOOKUP(Courses!A3,Courses!A:D,1,0)</f>
        <v>CS 180</v>
      </c>
      <c r="D7" s="32">
        <v>10</v>
      </c>
      <c r="E7" s="35">
        <v>44870</v>
      </c>
      <c r="F7" t="str" cm="1">
        <f t="array" ref="F7">insertinto(A7:E7,$G$2:$H$6,"pr_Assignments_Tests")</f>
        <v>insert into pr_Assignments_Tests values ('T-05', 'Test 2', 'CS 180', 10, '05-Nov-2022');</v>
      </c>
      <c r="I7">
        <v>5</v>
      </c>
    </row>
    <row r="8" spans="1:9" x14ac:dyDescent="0.15">
      <c r="A8" s="14" t="str">
        <f t="shared" si="0"/>
        <v>T-06</v>
      </c>
      <c r="B8" s="14" t="s">
        <v>4213</v>
      </c>
      <c r="C8" t="str">
        <f xml:space="preserve"> VLOOKUP(Courses!A3,Courses!A:D,1,0)</f>
        <v>CS 180</v>
      </c>
      <c r="D8" s="32">
        <v>10</v>
      </c>
      <c r="E8" s="35">
        <v>44919</v>
      </c>
      <c r="F8" t="str" cm="1">
        <f t="array" ref="F8">insertinto(A8:E8,$G$2:$H$6,"pr_Assignments_Tests")</f>
        <v>insert into pr_Assignments_Tests values ('T-06', 'Test 2', 'CS 180', 10, '24-Dec-2022');</v>
      </c>
      <c r="I8">
        <v>6</v>
      </c>
    </row>
    <row r="9" spans="1:9" x14ac:dyDescent="0.15">
      <c r="A9" s="14" t="str">
        <f t="shared" si="0"/>
        <v>T-07</v>
      </c>
      <c r="B9" s="14" t="s">
        <v>4212</v>
      </c>
      <c r="C9" t="str">
        <f xml:space="preserve"> VLOOKUP(Courses!A5,Courses!A:D,1,0)</f>
        <v>ECO 110</v>
      </c>
      <c r="D9" s="32">
        <v>5</v>
      </c>
      <c r="E9" s="35">
        <v>44874</v>
      </c>
      <c r="F9" t="str" cm="1">
        <f t="array" ref="F9">insertinto(A9:E9,$G$2:$H$6,"pr_Assignments_Tests")</f>
        <v>insert into pr_Assignments_Tests values ('T-07', 'Test 1', 'ECO 110', 5, '09-Nov-2022');</v>
      </c>
      <c r="I9">
        <v>7</v>
      </c>
    </row>
    <row r="10" spans="1:9" x14ac:dyDescent="0.15">
      <c r="A10" s="14" t="str">
        <f t="shared" si="0"/>
        <v>T-08</v>
      </c>
      <c r="B10" s="14" t="s">
        <v>4213</v>
      </c>
      <c r="C10" t="str">
        <f xml:space="preserve"> VLOOKUP(Courses!A5,Courses!A:D,1,0)</f>
        <v>ECO 110</v>
      </c>
      <c r="D10" s="32">
        <v>5</v>
      </c>
      <c r="E10" s="35">
        <v>44885</v>
      </c>
      <c r="F10" t="str" cm="1">
        <f t="array" ref="F10">insertinto(A10:E10,$G$2:$H$6,"pr_Assignments_Tests")</f>
        <v>insert into pr_Assignments_Tests values ('T-08', 'Test 2', 'ECO 110', 5, '20-Nov-2022');</v>
      </c>
      <c r="I10">
        <v>8</v>
      </c>
    </row>
    <row r="11" spans="1:9" x14ac:dyDescent="0.15">
      <c r="A11" s="14" t="str">
        <f t="shared" si="0"/>
        <v>T-09</v>
      </c>
      <c r="B11" s="14" t="s">
        <v>4214</v>
      </c>
      <c r="C11" t="str">
        <f xml:space="preserve"> VLOOKUP(Courses!A5,Courses!A:D,1,0)</f>
        <v>ECO 110</v>
      </c>
      <c r="D11" s="32">
        <v>5</v>
      </c>
      <c r="E11" s="35">
        <v>44910</v>
      </c>
      <c r="F11" t="str" cm="1">
        <f t="array" ref="F11">insertinto(A11:E11,$G$2:$H$6,"pr_Assignments_Tests")</f>
        <v>insert into pr_Assignments_Tests values ('T-09', 'Test 3', 'ECO 110', 5, '15-Dec-2022');</v>
      </c>
      <c r="I11">
        <v>9</v>
      </c>
    </row>
    <row r="12" spans="1:9" x14ac:dyDescent="0.15">
      <c r="A12" s="14" t="str">
        <f t="shared" si="0"/>
        <v>T-10</v>
      </c>
      <c r="B12" s="14" t="s">
        <v>4215</v>
      </c>
      <c r="C12" t="str">
        <f xml:space="preserve"> VLOOKUP(Courses!A5,Courses!A:D,1,0)</f>
        <v>ECO 110</v>
      </c>
      <c r="D12" s="32">
        <v>5</v>
      </c>
      <c r="E12" s="35">
        <v>44923</v>
      </c>
      <c r="F12" t="str" cm="1">
        <f t="array" ref="F12">insertinto(A12:E12,$G$2:$H$6,"pr_Assignments_Tests")</f>
        <v>insert into pr_Assignments_Tests values ('T-10', 'Test 4', 'ECO 110', 5, '28-Dec-2022');</v>
      </c>
      <c r="I12">
        <v>10</v>
      </c>
    </row>
    <row r="13" spans="1:9" x14ac:dyDescent="0.15">
      <c r="A13" s="14" t="str">
        <f t="shared" si="0"/>
        <v>T-11</v>
      </c>
      <c r="B13" s="14" t="s">
        <v>4208</v>
      </c>
      <c r="C13" t="str">
        <f xml:space="preserve"> VLOOKUP(Courses!A7,Courses!A:D,1,0)</f>
        <v>ENG 102</v>
      </c>
      <c r="D13" s="32">
        <v>10</v>
      </c>
      <c r="E13" s="36">
        <v>44986</v>
      </c>
      <c r="F13" t="str" cm="1">
        <f t="array" ref="F13">insertinto(A13:E13,$G$2:$H$6,"pr_Assignments_Tests")</f>
        <v>insert into pr_Assignments_Tests values ('T-11', 'Essay 1', 'ENG 102', 10, '01-Mar-2023');</v>
      </c>
      <c r="I13">
        <v>11</v>
      </c>
    </row>
    <row r="14" spans="1:9" x14ac:dyDescent="0.15">
      <c r="A14" s="14" t="str">
        <f t="shared" si="0"/>
        <v>T-12</v>
      </c>
      <c r="B14" s="14" t="s">
        <v>4209</v>
      </c>
      <c r="C14" t="str">
        <f xml:space="preserve"> VLOOKUP(Courses!A7,Courses!A:D,1,0)</f>
        <v>ENG 102</v>
      </c>
      <c r="D14" s="32">
        <v>10</v>
      </c>
      <c r="E14" s="35">
        <v>45000</v>
      </c>
      <c r="F14" t="str" cm="1">
        <f t="array" ref="F14">insertinto(A14:E14,$G$2:$H$6,"pr_Assignments_Tests")</f>
        <v>insert into pr_Assignments_Tests values ('T-12', 'Essay 2', 'ENG 102', 10, '15-Mar-2023');</v>
      </c>
      <c r="I14">
        <v>12</v>
      </c>
    </row>
    <row r="15" spans="1:9" x14ac:dyDescent="0.15">
      <c r="A15" s="14" t="str">
        <f t="shared" si="0"/>
        <v>T-13</v>
      </c>
      <c r="B15" s="14" t="s">
        <v>4210</v>
      </c>
      <c r="C15" t="str">
        <f xml:space="preserve"> VLOOKUP(Courses!A7,Courses!A:D,1,0)</f>
        <v>ENG 102</v>
      </c>
      <c r="D15" s="32">
        <v>10</v>
      </c>
      <c r="E15" s="36">
        <v>45013</v>
      </c>
      <c r="F15" t="str" cm="1">
        <f t="array" ref="F15">insertinto(A15:E15,$G$2:$H$6,"pr_Assignments_Tests")</f>
        <v>insert into pr_Assignments_Tests values ('T-13', 'Essay 3', 'ENG 102', 10, '28-Mar-2023');</v>
      </c>
      <c r="I15">
        <v>13</v>
      </c>
    </row>
    <row r="16" spans="1:9" x14ac:dyDescent="0.15">
      <c r="A16" s="14" t="str">
        <f t="shared" si="0"/>
        <v>T-14</v>
      </c>
      <c r="B16" s="14" t="s">
        <v>4185</v>
      </c>
      <c r="C16" t="str">
        <f xml:space="preserve"> VLOOKUP(Courses!A7,Courses!A:D,1,0)</f>
        <v>ENG 102</v>
      </c>
      <c r="D16" s="32">
        <v>25</v>
      </c>
      <c r="E16" s="35">
        <v>45026</v>
      </c>
      <c r="F16" t="str" cm="1">
        <f t="array" ref="F16">insertinto(A16:E16,$G$2:$H$6,"pr_Assignments_Tests")</f>
        <v>insert into pr_Assignments_Tests values ('T-14', 'In-Class Essay', 'ENG 102', 25, '10-Apr-2023');</v>
      </c>
      <c r="I16">
        <v>14</v>
      </c>
    </row>
    <row r="17" spans="1:9" x14ac:dyDescent="0.15">
      <c r="A17" s="14" t="str">
        <f t="shared" si="0"/>
        <v>T-15</v>
      </c>
      <c r="B17" s="14" t="s">
        <v>4212</v>
      </c>
      <c r="C17" t="str">
        <f xml:space="preserve"> VLOOKUP(Courses!A9,Courses!A:D,1,0)</f>
        <v>CS 107</v>
      </c>
      <c r="D17" s="32">
        <v>5</v>
      </c>
      <c r="E17" s="36">
        <v>44986</v>
      </c>
      <c r="F17" t="str" cm="1">
        <f t="array" ref="F17">insertinto(A17:E17,$G$2:$H$6,"pr_Assignments_Tests")</f>
        <v>insert into pr_Assignments_Tests values ('T-15', 'Test 1', 'CS 107', 5, '01-Mar-2023');</v>
      </c>
      <c r="I17">
        <v>15</v>
      </c>
    </row>
    <row r="18" spans="1:9" x14ac:dyDescent="0.15">
      <c r="A18" s="14" t="str">
        <f t="shared" si="0"/>
        <v>T-16</v>
      </c>
      <c r="B18" s="14" t="s">
        <v>4213</v>
      </c>
      <c r="C18" t="str">
        <f xml:space="preserve"> VLOOKUP(Courses!A9,Courses!A:D,1,0)</f>
        <v>CS 107</v>
      </c>
      <c r="D18" s="32">
        <v>5</v>
      </c>
      <c r="E18" s="35">
        <v>44999</v>
      </c>
      <c r="F18" t="str" cm="1">
        <f t="array" ref="F18">insertinto(A18:E18,$G$2:$H$6,"pr_Assignments_Tests")</f>
        <v>insert into pr_Assignments_Tests values ('T-16', 'Test 2', 'CS 107', 5, '14-Mar-2023');</v>
      </c>
      <c r="I18">
        <v>16</v>
      </c>
    </row>
    <row r="19" spans="1:9" x14ac:dyDescent="0.15">
      <c r="A19" s="14" t="str">
        <f t="shared" si="0"/>
        <v>T-17</v>
      </c>
      <c r="B19" s="14" t="s">
        <v>4214</v>
      </c>
      <c r="C19" t="str">
        <f xml:space="preserve"> VLOOKUP(Courses!A9,Courses!A:D,1,0)</f>
        <v>CS 107</v>
      </c>
      <c r="D19" s="32">
        <v>5</v>
      </c>
      <c r="E19" s="35">
        <v>45012</v>
      </c>
      <c r="F19" t="str" cm="1">
        <f t="array" ref="F19">insertinto(A19:E19,$G$2:$H$6,"pr_Assignments_Tests")</f>
        <v>insert into pr_Assignments_Tests values ('T-17', 'Test 3', 'CS 107', 5, '27-Mar-2023');</v>
      </c>
      <c r="I19">
        <v>17</v>
      </c>
    </row>
    <row r="20" spans="1:9" x14ac:dyDescent="0.15">
      <c r="A20" s="14" t="str">
        <f t="shared" si="0"/>
        <v>T-18</v>
      </c>
      <c r="B20" s="14" t="s">
        <v>4215</v>
      </c>
      <c r="C20" t="str">
        <f xml:space="preserve"> VLOOKUP(Courses!A9,Courses!A:D,1,0)</f>
        <v>CS 107</v>
      </c>
      <c r="D20" s="32">
        <v>5</v>
      </c>
      <c r="E20" s="35">
        <v>44990</v>
      </c>
      <c r="F20" t="str" cm="1">
        <f t="array" ref="F20">insertinto(A20:E20,$G$2:$H$6,"pr_Assignments_Tests")</f>
        <v>insert into pr_Assignments_Tests values ('T-18', 'Test 4', 'CS 107', 5, '05-Mar-2023');</v>
      </c>
      <c r="I20">
        <v>18</v>
      </c>
    </row>
    <row r="21" spans="1:9" x14ac:dyDescent="0.15">
      <c r="A21" s="14" t="str">
        <f t="shared" si="0"/>
        <v>T-19</v>
      </c>
      <c r="B21" s="14" t="s">
        <v>4212</v>
      </c>
      <c r="C21" t="str">
        <f xml:space="preserve"> VLOOKUP(Courses!A10,Courses!A:D,1,0)</f>
        <v>ART 120</v>
      </c>
      <c r="D21" s="32">
        <v>5</v>
      </c>
      <c r="E21" s="35">
        <v>45075</v>
      </c>
      <c r="F21" t="str" cm="1">
        <f t="array" ref="F21">insertinto(A21:E21,$G$2:$H$6,"pr_Assignments_Tests")</f>
        <v>insert into pr_Assignments_Tests values ('T-19', 'Test 1', 'ART 120', 5, '29-May-2023');</v>
      </c>
      <c r="I21">
        <v>19</v>
      </c>
    </row>
    <row r="22" spans="1:9" x14ac:dyDescent="0.15">
      <c r="A22" s="14" t="str">
        <f t="shared" si="0"/>
        <v>T-20</v>
      </c>
      <c r="B22" s="14" t="s">
        <v>4213</v>
      </c>
      <c r="C22" t="str">
        <f xml:space="preserve"> VLOOKUP(Courses!A10,Courses!A:D,1,0)</f>
        <v>ART 120</v>
      </c>
      <c r="D22" s="32">
        <v>5</v>
      </c>
      <c r="E22" s="35">
        <v>45083</v>
      </c>
      <c r="F22" t="str" cm="1">
        <f t="array" ref="F22">insertinto(A22:E22,$G$2:$H$6,"pr_Assignments_Tests")</f>
        <v>insert into pr_Assignments_Tests values ('T-20', 'Test 2', 'ART 120', 5, '06-Jun-2023');</v>
      </c>
      <c r="I22">
        <v>20</v>
      </c>
    </row>
    <row r="23" spans="1:9" x14ac:dyDescent="0.15">
      <c r="A23" s="14" t="str">
        <f t="shared" si="0"/>
        <v>T-21</v>
      </c>
      <c r="B23" s="14" t="s">
        <v>4214</v>
      </c>
      <c r="C23" t="str">
        <f xml:space="preserve"> VLOOKUP(Courses!A10,Courses!A:D,1,0)</f>
        <v>ART 120</v>
      </c>
      <c r="D23" s="32">
        <v>5</v>
      </c>
      <c r="E23" s="35">
        <v>45092</v>
      </c>
      <c r="F23" t="str" cm="1">
        <f t="array" ref="F23">insertinto(A23:E23,$G$2:$H$6,"pr_Assignments_Tests")</f>
        <v>insert into pr_Assignments_Tests values ('T-21', 'Test 3', 'ART 120', 5, '15-Jun-2023');</v>
      </c>
      <c r="I23">
        <v>21</v>
      </c>
    </row>
    <row r="24" spans="1:9" x14ac:dyDescent="0.15">
      <c r="A24" s="14" t="str">
        <f t="shared" si="0"/>
        <v>T-22</v>
      </c>
      <c r="B24" s="14" t="s">
        <v>4215</v>
      </c>
      <c r="C24" t="str">
        <f xml:space="preserve"> VLOOKUP(Courses!A10,Courses!A:D,1,0)</f>
        <v>ART 120</v>
      </c>
      <c r="D24" s="32">
        <v>5</v>
      </c>
      <c r="E24" s="35">
        <v>45105</v>
      </c>
      <c r="F24" t="str" cm="1">
        <f t="array" ref="F24">insertinto(A24:E24,$G$2:$H$6,"pr_Assignments_Tests")</f>
        <v>insert into pr_Assignments_Tests values ('T-22', 'Test 4', 'ART 120', 5, '28-Jun-2023');</v>
      </c>
      <c r="I24">
        <v>22</v>
      </c>
    </row>
    <row r="25" spans="1:9" x14ac:dyDescent="0.15">
      <c r="A25" s="14" t="str">
        <f t="shared" si="0"/>
        <v>T-23</v>
      </c>
      <c r="B25" s="14" t="s">
        <v>4208</v>
      </c>
      <c r="C25" t="str">
        <f xml:space="preserve"> VLOOKUP(Courses!A12,Courses!A:D,1,0)</f>
        <v>PHIL 101</v>
      </c>
      <c r="D25" s="32">
        <v>15</v>
      </c>
      <c r="E25" s="35">
        <v>45237</v>
      </c>
      <c r="F25" t="str" cm="1">
        <f t="array" ref="F25">insertinto(A25:E25,$G$2:$H$6,"pr_Assignments_Tests")</f>
        <v>insert into pr_Assignments_Tests values ('T-23', 'Essay 1', 'PHIL 101', 15, '07-Nov-2023');</v>
      </c>
      <c r="I25">
        <v>23</v>
      </c>
    </row>
    <row r="26" spans="1:9" x14ac:dyDescent="0.15">
      <c r="A26" s="14" t="str">
        <f t="shared" si="0"/>
        <v>T-24</v>
      </c>
      <c r="B26" s="14" t="s">
        <v>4209</v>
      </c>
      <c r="C26" t="str">
        <f xml:space="preserve"> VLOOKUP(Courses!A12,Courses!A:D,1,0)</f>
        <v>PHIL 101</v>
      </c>
      <c r="D26" s="32">
        <v>15</v>
      </c>
      <c r="E26" s="35">
        <v>45258</v>
      </c>
      <c r="F26" t="str" cm="1">
        <f t="array" ref="F26">insertinto(A26:E26,$G$2:$H$6,"pr_Assignments_Tests")</f>
        <v>insert into pr_Assignments_Tests values ('T-24', 'Essay 2', 'PHIL 101', 15, '28-Nov-2023');</v>
      </c>
      <c r="I26">
        <v>24</v>
      </c>
    </row>
    <row r="27" spans="1:9" x14ac:dyDescent="0.15">
      <c r="A27" s="14" t="str">
        <f t="shared" si="0"/>
        <v>T-25</v>
      </c>
      <c r="B27" s="14" t="s">
        <v>4185</v>
      </c>
      <c r="C27" t="str">
        <f xml:space="preserve"> VLOOKUP(Courses!A12,Courses!A:D,1,0)</f>
        <v>PHIL 101</v>
      </c>
      <c r="D27" s="32">
        <v>40</v>
      </c>
      <c r="E27" s="35">
        <v>44919</v>
      </c>
      <c r="F27" t="str" cm="1">
        <f t="array" ref="F27">insertinto(A27:E27,$G$2:$H$6,"pr_Assignments_Tests")</f>
        <v>insert into pr_Assignments_Tests values ('T-25', 'In-Class Essay', 'PHIL 101', 40, '24-Dec-2022');</v>
      </c>
      <c r="I27">
        <v>25</v>
      </c>
    </row>
    <row r="28" spans="1:9" x14ac:dyDescent="0.15">
      <c r="A28" s="14" t="str">
        <f t="shared" si="0"/>
        <v>T-26</v>
      </c>
      <c r="B28" s="14" t="s">
        <v>4208</v>
      </c>
      <c r="C28" t="str">
        <f xml:space="preserve"> VLOOKUP(Courses!A13,Courses!A:D,1,0)</f>
        <v>POL 101</v>
      </c>
      <c r="D28" s="32">
        <v>15</v>
      </c>
      <c r="E28" s="35">
        <v>45243</v>
      </c>
      <c r="F28" t="str" cm="1">
        <f t="array" ref="F28">insertinto(A28:E28,$G$2:$H$6,"pr_Assignments_Tests")</f>
        <v>insert into pr_Assignments_Tests values ('T-26', 'Essay 1', 'POL 101', 15, '13-Nov-2023');</v>
      </c>
      <c r="I28">
        <v>26</v>
      </c>
    </row>
    <row r="29" spans="1:9" x14ac:dyDescent="0.15">
      <c r="A29" s="14" t="str">
        <f t="shared" si="0"/>
        <v>T-27</v>
      </c>
      <c r="B29" s="14" t="s">
        <v>4209</v>
      </c>
      <c r="C29" t="str">
        <f xml:space="preserve"> VLOOKUP(Courses!A13,Courses!A:D,1,0)</f>
        <v>POL 101</v>
      </c>
      <c r="D29" s="32">
        <v>15</v>
      </c>
      <c r="E29" s="36">
        <v>45263</v>
      </c>
      <c r="F29" t="str" cm="1">
        <f t="array" ref="F29">insertinto(A29:E29,$G$2:$H$6,"pr_Assignments_Tests")</f>
        <v>insert into pr_Assignments_Tests values ('T-27', 'Essay 2', 'POL 101', 15, '03-Dec-2023');</v>
      </c>
      <c r="I29">
        <v>27</v>
      </c>
    </row>
    <row r="30" spans="1:9" x14ac:dyDescent="0.15">
      <c r="A30" s="14" t="str">
        <f t="shared" si="0"/>
        <v>T-28</v>
      </c>
      <c r="B30" s="14" t="s">
        <v>4184</v>
      </c>
      <c r="C30" t="str">
        <f xml:space="preserve"> VLOOKUP(Courses!A13,Courses!A:D,1,0)</f>
        <v>POL 101</v>
      </c>
      <c r="D30" s="32">
        <v>25</v>
      </c>
      <c r="E30" s="35">
        <v>45294</v>
      </c>
      <c r="F30" t="str" cm="1">
        <f t="array" ref="F30">insertinto(A30:E30,$G$2:$H$6,"pr_Assignments_Tests")</f>
        <v>insert into pr_Assignments_Tests values ('T-28', 'Blog Exercise', 'POL 101', 25, '03-Jan-2024');</v>
      </c>
      <c r="I30">
        <v>28</v>
      </c>
    </row>
    <row r="31" spans="1:9" x14ac:dyDescent="0.15">
      <c r="A31" s="14" t="str">
        <f t="shared" si="0"/>
        <v>T-29</v>
      </c>
      <c r="B31" s="14" t="s">
        <v>4205</v>
      </c>
      <c r="C31" t="str">
        <f xml:space="preserve"> VLOOKUP(Courses!A13,Courses!A:D,1,0)</f>
        <v>POL 101</v>
      </c>
      <c r="D31" s="32">
        <v>45</v>
      </c>
      <c r="E31" s="35">
        <v>44979</v>
      </c>
      <c r="F31" t="str" cm="1">
        <f t="array" ref="F31">insertinto(A31:E31,$G$2:$H$6,"pr_Assignments_Tests")</f>
        <v>insert into pr_Assignments_Tests values ('T-29', 'In-Class Test', 'POL 101', 45, '22-Feb-2023');</v>
      </c>
      <c r="I31">
        <v>29</v>
      </c>
    </row>
    <row r="32" spans="1:9" x14ac:dyDescent="0.15">
      <c r="A32" s="14" t="str">
        <f t="shared" si="0"/>
        <v>T-30</v>
      </c>
      <c r="B32" s="14" t="s">
        <v>4212</v>
      </c>
      <c r="C32" t="str">
        <f xml:space="preserve"> VLOOKUP(Courses!A14,Courses!A:D,1,0)</f>
        <v>CS 205</v>
      </c>
      <c r="D32" s="32">
        <v>5</v>
      </c>
      <c r="E32" s="35">
        <v>45243</v>
      </c>
      <c r="F32" t="str" cm="1">
        <f t="array" ref="F32">insertinto(A32:E32,$G$2:$H$6,"pr_Assignments_Tests")</f>
        <v>insert into pr_Assignments_Tests values ('T-30', 'Test 1', 'CS 205', 5, '13-Nov-2023');</v>
      </c>
      <c r="I32">
        <v>30</v>
      </c>
    </row>
    <row r="33" spans="1:9" x14ac:dyDescent="0.15">
      <c r="A33" s="14" t="str">
        <f t="shared" si="0"/>
        <v>T-31</v>
      </c>
      <c r="B33" s="14" t="s">
        <v>4213</v>
      </c>
      <c r="C33" t="str">
        <f xml:space="preserve"> VLOOKUP(Courses!A14,Courses!A:D,1,0)</f>
        <v>CS 205</v>
      </c>
      <c r="D33" s="32">
        <v>5</v>
      </c>
      <c r="E33" s="35">
        <v>45260</v>
      </c>
      <c r="F33" t="str" cm="1">
        <f t="array" ref="F33">insertinto(A33:E33,$G$2:$H$6,"pr_Assignments_Tests")</f>
        <v>insert into pr_Assignments_Tests values ('T-31', 'Test 2', 'CS 205', 5, '30-Nov-2023');</v>
      </c>
      <c r="I33">
        <v>31</v>
      </c>
    </row>
    <row r="34" spans="1:9" x14ac:dyDescent="0.15">
      <c r="A34" s="14" t="str">
        <f t="shared" si="0"/>
        <v>T-32</v>
      </c>
      <c r="B34" s="14" t="s">
        <v>4214</v>
      </c>
      <c r="C34" t="str">
        <f xml:space="preserve"> VLOOKUP(Courses!A14,Courses!A:D,1,0)</f>
        <v>CS 205</v>
      </c>
      <c r="D34" s="32">
        <v>5</v>
      </c>
      <c r="E34" s="35">
        <v>45275</v>
      </c>
      <c r="F34" t="str" cm="1">
        <f t="array" ref="F34">insertinto(A34:E34,$G$2:$H$6,"pr_Assignments_Tests")</f>
        <v>insert into pr_Assignments_Tests values ('T-32', 'Test 3', 'CS 205', 5, '15-Dec-2023');</v>
      </c>
      <c r="I34">
        <v>32</v>
      </c>
    </row>
    <row r="35" spans="1:9" x14ac:dyDescent="0.15">
      <c r="A35" s="14" t="str">
        <f t="shared" si="0"/>
        <v>T-33</v>
      </c>
      <c r="B35" s="14" t="s">
        <v>4215</v>
      </c>
      <c r="C35" t="str">
        <f xml:space="preserve"> VLOOKUP(Courses!A14,Courses!A:D,1,0)</f>
        <v>CS 205</v>
      </c>
      <c r="D35" s="32">
        <v>5</v>
      </c>
      <c r="E35" s="35">
        <v>45289</v>
      </c>
      <c r="F35" t="str" cm="1">
        <f t="array" ref="F35">insertinto(A35:E35,$G$2:$H$6,"pr_Assignments_Tests")</f>
        <v>insert into pr_Assignments_Tests values ('T-33', 'Test 4', 'CS 205', 5, '29-Dec-2023');</v>
      </c>
      <c r="I35">
        <v>33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691E97-25AF-9044-9B5E-B1FC2594A2F1}">
  <dimension ref="A1:I17"/>
  <sheetViews>
    <sheetView zoomScale="125" workbookViewId="0">
      <selection activeCell="D28" sqref="D28"/>
    </sheetView>
  </sheetViews>
  <sheetFormatPr baseColWidth="10" defaultRowHeight="13" x14ac:dyDescent="0.15"/>
  <cols>
    <col min="2" max="2" width="25" bestFit="1" customWidth="1"/>
    <col min="3" max="3" width="11.83203125" bestFit="1" customWidth="1"/>
    <col min="4" max="4" width="15.6640625" bestFit="1" customWidth="1"/>
    <col min="5" max="5" width="16.5" bestFit="1" customWidth="1"/>
    <col min="6" max="6" width="81" bestFit="1" customWidth="1"/>
    <col min="7" max="7" width="5.1640625" bestFit="1" customWidth="1"/>
  </cols>
  <sheetData>
    <row r="1" spans="1:9" x14ac:dyDescent="0.15">
      <c r="A1" s="21" t="s">
        <v>4206</v>
      </c>
      <c r="B1" s="22" t="s">
        <v>4198</v>
      </c>
      <c r="C1" s="23" t="s">
        <v>4174</v>
      </c>
      <c r="D1" s="26" t="s">
        <v>4199</v>
      </c>
      <c r="E1" s="30" t="s">
        <v>4246</v>
      </c>
    </row>
    <row r="2" spans="1:9" x14ac:dyDescent="0.15">
      <c r="A2" t="s">
        <v>4302</v>
      </c>
      <c r="B2" s="14" t="s">
        <v>4194</v>
      </c>
      <c r="C2" t="str">
        <f xml:space="preserve"> VLOOKUP(Courses!A3,Courses!A:D,1,0)</f>
        <v>CS 180</v>
      </c>
      <c r="D2" s="32">
        <v>10</v>
      </c>
      <c r="E2" s="24">
        <v>44924</v>
      </c>
      <c r="F2" t="str" cm="1">
        <f t="array" ref="F2">insertinto(A2:E2,$H$2:$I$6,"pr_Projects")</f>
        <v>insert into pr_Projects values ('P-0965', 'Algorithm Presentation Project', 'CS 180', 10, '29-Dec-2022');</v>
      </c>
      <c r="H2" s="14" t="s">
        <v>4206</v>
      </c>
      <c r="I2" s="14" t="s">
        <v>4231</v>
      </c>
    </row>
    <row r="3" spans="1:9" x14ac:dyDescent="0.15">
      <c r="A3" t="s">
        <v>4303</v>
      </c>
      <c r="B3" s="14" t="s">
        <v>4187</v>
      </c>
      <c r="C3" t="str">
        <f xml:space="preserve"> VLOOKUP(Courses!A4,Courses!A:D,1,0)</f>
        <v>CS 105</v>
      </c>
      <c r="D3" s="32">
        <v>30</v>
      </c>
      <c r="E3" s="24">
        <v>44923</v>
      </c>
      <c r="F3" t="str" cm="1">
        <f t="array" ref="F3">insertinto(A3:E3,$H$2:$I$6,"pr_Projects")</f>
        <v>insert into pr_Projects values ('P-0416', 'Course Project', 'CS 105', 30, '28-Dec-2022');</v>
      </c>
      <c r="H3" s="14" t="s">
        <v>4198</v>
      </c>
      <c r="I3" s="14" t="s">
        <v>4231</v>
      </c>
    </row>
    <row r="4" spans="1:9" x14ac:dyDescent="0.15">
      <c r="A4" t="s">
        <v>4304</v>
      </c>
      <c r="B4" s="14" t="s">
        <v>4192</v>
      </c>
      <c r="C4" t="str">
        <f xml:space="preserve"> VLOOKUP(Courses!A5,Courses!A:D,1,0)</f>
        <v>ECO 110</v>
      </c>
      <c r="D4" s="32">
        <v>35</v>
      </c>
      <c r="E4" s="24">
        <v>44922</v>
      </c>
      <c r="F4" t="str" cm="1">
        <f t="array" ref="F4">insertinto(A4:E4,$H$2:$I$6,"pr_Projects")</f>
        <v>insert into pr_Projects values ('P-0834', 'Lab Project', 'ECO 110', 35, '27-Dec-2022');</v>
      </c>
      <c r="H4" s="14" t="s">
        <v>4174</v>
      </c>
      <c r="I4" s="14" t="s">
        <v>4231</v>
      </c>
    </row>
    <row r="5" spans="1:9" x14ac:dyDescent="0.15">
      <c r="A5" t="s">
        <v>4305</v>
      </c>
      <c r="B5" s="14" t="s">
        <v>4188</v>
      </c>
      <c r="C5" t="str">
        <f xml:space="preserve"> VLOOKUP(Courses!A7,Courses!A:D,1,0)</f>
        <v>ENG 102</v>
      </c>
      <c r="D5" s="32">
        <v>45</v>
      </c>
      <c r="E5" s="31">
        <v>45043</v>
      </c>
      <c r="F5" t="str" cm="1">
        <f t="array" ref="F5">insertinto(A5:E5,$H$2:$I$6,"pr_Projects")</f>
        <v>insert into pr_Projects values ('P-0665', 'Research Project', 'ENG 102', 45, '27-Apr-2023');</v>
      </c>
      <c r="H5" s="14" t="s">
        <v>4199</v>
      </c>
      <c r="I5" s="14" t="s">
        <v>4232</v>
      </c>
    </row>
    <row r="6" spans="1:9" x14ac:dyDescent="0.15">
      <c r="A6" t="s">
        <v>4306</v>
      </c>
      <c r="B6" s="14" t="s">
        <v>4187</v>
      </c>
      <c r="C6" t="str">
        <f xml:space="preserve"> VLOOKUP(Courses!A8,Courses!A:D,1,0)</f>
        <v>CS 106</v>
      </c>
      <c r="D6" s="32">
        <v>30</v>
      </c>
      <c r="E6" s="24">
        <v>45042</v>
      </c>
      <c r="F6" t="str" cm="1">
        <f t="array" ref="F6">insertinto(A6:E6,$H$2:$I$6,"pr_Projects")</f>
        <v>insert into pr_Projects values ('P-0683', 'Course Project', 'CS 106', 30, '26-Apr-2023');</v>
      </c>
      <c r="H6" s="14" t="s">
        <v>4246</v>
      </c>
      <c r="I6" s="14" t="s">
        <v>4201</v>
      </c>
    </row>
    <row r="7" spans="1:9" x14ac:dyDescent="0.15">
      <c r="A7" t="s">
        <v>4307</v>
      </c>
      <c r="B7" s="14" t="s">
        <v>4189</v>
      </c>
      <c r="C7" t="str">
        <f xml:space="preserve"> VLOOKUP(Courses!A9,Courses!A:D,1,0)</f>
        <v>CS 107</v>
      </c>
      <c r="D7" s="32">
        <v>30</v>
      </c>
      <c r="E7" s="24">
        <v>45044</v>
      </c>
      <c r="F7" t="str" cm="1">
        <f t="array" ref="F7">insertinto(A7:E7,$H$2:$I$6,"pr_Projects")</f>
        <v>insert into pr_Projects values ('P-0575', 'Photoshop Project', 'CS 107', 30, '28-Apr-2023');</v>
      </c>
    </row>
    <row r="8" spans="1:9" x14ac:dyDescent="0.15">
      <c r="A8" t="s">
        <v>4308</v>
      </c>
      <c r="B8" s="14" t="s">
        <v>4190</v>
      </c>
      <c r="C8" t="str">
        <f xml:space="preserve"> VLOOKUP(Courses!A9,Courses!A:D,1,0)</f>
        <v>CS 107</v>
      </c>
      <c r="D8" s="32">
        <v>20</v>
      </c>
      <c r="E8" s="24">
        <v>45046</v>
      </c>
      <c r="F8" t="str" cm="1">
        <f t="array" ref="F8">insertinto(A8:E8,$H$2:$I$6,"pr_Projects")</f>
        <v>insert into pr_Projects values ('P-0699', 'Video Project', 'CS 107', 20, '30-Apr-2023');</v>
      </c>
    </row>
    <row r="9" spans="1:9" x14ac:dyDescent="0.15">
      <c r="A9" t="s">
        <v>4309</v>
      </c>
      <c r="B9" s="14" t="s">
        <v>4195</v>
      </c>
      <c r="C9" t="str">
        <f xml:space="preserve"> VLOOKUP(Courses!A10,Courses!A:D,1,0)</f>
        <v>ART 120</v>
      </c>
      <c r="D9" s="32">
        <v>40</v>
      </c>
      <c r="E9" s="24">
        <v>45117</v>
      </c>
      <c r="F9" t="str" cm="1">
        <f t="array" ref="F9">insertinto(A9:E9,$H$2:$I$6,"pr_Projects")</f>
        <v>insert into pr_Projects values ('P-0092', 'Course Research Project', 'ART 120', 40, '10-Jul-2023');</v>
      </c>
    </row>
    <row r="10" spans="1:9" x14ac:dyDescent="0.15">
      <c r="A10" t="s">
        <v>4310</v>
      </c>
      <c r="B10" s="14" t="s">
        <v>4191</v>
      </c>
      <c r="C10" t="str">
        <f xml:space="preserve"> VLOOKUP(Courses!A11,Courses!A:D,1,0)</f>
        <v>HIS 120</v>
      </c>
      <c r="D10" s="32">
        <v>15</v>
      </c>
      <c r="E10" s="24">
        <v>45100</v>
      </c>
      <c r="F10" t="str" cm="1">
        <f t="array" ref="F10">insertinto(A10:E10,$H$2:$I$6,"pr_Projects")</f>
        <v>insert into pr_Projects values ('P-0642', 'Midterm Research Project', 'HIS 120', 15, '23-Jun-2023');</v>
      </c>
    </row>
    <row r="11" spans="1:9" x14ac:dyDescent="0.15">
      <c r="A11" t="s">
        <v>4311</v>
      </c>
      <c r="B11" s="14" t="s">
        <v>4193</v>
      </c>
      <c r="C11" t="str">
        <f xml:space="preserve"> VLOOKUP(Courses!A11,Courses!A:D,1,0)</f>
        <v>HIS 120</v>
      </c>
      <c r="D11" s="32">
        <v>30</v>
      </c>
      <c r="E11" s="24">
        <v>45116</v>
      </c>
      <c r="F11" t="str" cm="1">
        <f t="array" ref="F11">insertinto(A11:E11,$H$2:$I$6,"pr_Projects")</f>
        <v>insert into pr_Projects values ('P-0556', 'Presentation Research Project', 'HIS 120', 30, '09-Jul-2023');</v>
      </c>
    </row>
    <row r="12" spans="1:9" x14ac:dyDescent="0.15">
      <c r="A12" t="s">
        <v>4312</v>
      </c>
      <c r="B12" s="14" t="s">
        <v>4196</v>
      </c>
      <c r="C12" t="str">
        <f xml:space="preserve"> VLOOKUP(Courses!A12,Courses!A:D,1,0)</f>
        <v>PHIL 101</v>
      </c>
      <c r="D12" s="32">
        <v>30</v>
      </c>
      <c r="E12" s="24">
        <v>45295</v>
      </c>
      <c r="F12" t="str" cm="1">
        <f t="array" ref="F12">insertinto(A12:E12,$H$2:$I$6,"pr_Projects")</f>
        <v>insert into pr_Projects values ('P-0831', 'Presentation Project', 'PHIL 101', 30, '04-Jan-2024');</v>
      </c>
    </row>
    <row r="13" spans="1:9" x14ac:dyDescent="0.15">
      <c r="A13" t="s">
        <v>4313</v>
      </c>
      <c r="B13" s="14" t="s">
        <v>4187</v>
      </c>
      <c r="C13" t="str">
        <f xml:space="preserve"> VLOOKUP(Courses!A14,Courses!A:D,1,0)</f>
        <v>CS 205</v>
      </c>
      <c r="D13" s="32">
        <v>40</v>
      </c>
      <c r="E13" s="24">
        <v>45294</v>
      </c>
      <c r="F13" t="str" cm="1">
        <f t="array" ref="F13">insertinto(A13:E13,$H$2:$I$6,"pr_Projects")</f>
        <v>insert into pr_Projects values ('P-0722', 'Course Project', 'CS 205', 40, '03-Jan-2024');</v>
      </c>
    </row>
    <row r="14" spans="1:9" x14ac:dyDescent="0.15">
      <c r="A14" t="s">
        <v>4314</v>
      </c>
      <c r="B14" s="14" t="s">
        <v>4197</v>
      </c>
      <c r="C14" t="str">
        <f xml:space="preserve"> VLOOKUP(Courses!A14,Courses!A:D,1,0)</f>
        <v>CS 205</v>
      </c>
      <c r="D14" s="32">
        <v>15</v>
      </c>
      <c r="E14" s="24">
        <v>45265</v>
      </c>
      <c r="F14" t="str" cm="1">
        <f t="array" ref="F14">insertinto(A14:E14,$H$2:$I$6,"pr_Projects")</f>
        <v>insert into pr_Projects values ('P-0745', 'Midterm Project', 'CS 205', 15, '05-Dec-2023');</v>
      </c>
    </row>
    <row r="15" spans="1:9" x14ac:dyDescent="0.15">
      <c r="A15" t="s">
        <v>4315</v>
      </c>
      <c r="B15" s="14" t="s">
        <v>4187</v>
      </c>
      <c r="C15" t="str">
        <f xml:space="preserve"> VLOOKUP(Courses!A15,Courses!A:D,1,0)</f>
        <v>CS 215</v>
      </c>
      <c r="D15" s="32">
        <v>30</v>
      </c>
      <c r="E15" s="24">
        <v>45286</v>
      </c>
      <c r="F15" t="str" cm="1">
        <f t="array" ref="F15">insertinto(A15:E15,$H$2:$I$6,"pr_Projects")</f>
        <v>insert into pr_Projects values ('P-0579', 'Course Project', 'CS 215', 30, '26-Dec-2023');</v>
      </c>
    </row>
    <row r="16" spans="1:9" x14ac:dyDescent="0.15">
      <c r="D16" s="27"/>
      <c r="E16" s="27"/>
    </row>
    <row r="17" spans="5:5" x14ac:dyDescent="0.15">
      <c r="E17" s="27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6B658-7E73-2741-AF99-716E2D90E7C3}">
  <dimension ref="A1:H11"/>
  <sheetViews>
    <sheetView topLeftCell="B1" zoomScale="114" workbookViewId="0">
      <selection activeCell="F2" sqref="F2:F7"/>
    </sheetView>
  </sheetViews>
  <sheetFormatPr baseColWidth="10" defaultRowHeight="13" x14ac:dyDescent="0.15"/>
  <cols>
    <col min="1" max="1" width="10.83203125" customWidth="1"/>
    <col min="2" max="2" width="12.5" bestFit="1" customWidth="1"/>
    <col min="3" max="3" width="11.83203125" bestFit="1" customWidth="1"/>
    <col min="4" max="5" width="16.5" bestFit="1" customWidth="1"/>
    <col min="6" max="6" width="73.1640625" bestFit="1" customWidth="1"/>
    <col min="7" max="7" width="15.6640625" bestFit="1" customWidth="1"/>
  </cols>
  <sheetData>
    <row r="1" spans="1:8" x14ac:dyDescent="0.15">
      <c r="A1" s="21" t="s">
        <v>4247</v>
      </c>
      <c r="B1" s="22" t="s">
        <v>4198</v>
      </c>
      <c r="C1" s="23" t="s">
        <v>4174</v>
      </c>
      <c r="D1" s="26" t="s">
        <v>4199</v>
      </c>
      <c r="E1" s="26" t="s">
        <v>4201</v>
      </c>
    </row>
    <row r="2" spans="1:8" x14ac:dyDescent="0.15">
      <c r="A2" s="14" t="s">
        <v>4329</v>
      </c>
      <c r="B2" s="14" t="s">
        <v>4185</v>
      </c>
      <c r="C2" t="str">
        <f xml:space="preserve"> VLOOKUP(Courses!A2,Courses!A:D,1,0)</f>
        <v>ENG 101</v>
      </c>
      <c r="D2" s="32">
        <v>25</v>
      </c>
      <c r="E2" s="36">
        <v>44868</v>
      </c>
      <c r="F2" t="str" cm="1">
        <f t="array" ref="F2">insertinto(A2:E2,$G$2:$H$6,"pr_Midterms")</f>
        <v>insert into pr_Midterms values ('M-1', 'In-Class Essay', 'ENG 101', 25, '03-Nov-2022');</v>
      </c>
      <c r="G2" s="14" t="s">
        <v>4247</v>
      </c>
      <c r="H2" s="14" t="s">
        <v>4231</v>
      </c>
    </row>
    <row r="3" spans="1:8" x14ac:dyDescent="0.15">
      <c r="A3" s="14" t="s">
        <v>4330</v>
      </c>
      <c r="B3" s="14" t="s">
        <v>4200</v>
      </c>
      <c r="C3" t="str">
        <f xml:space="preserve"> VLOOKUP(Courses!A3,Courses!A:D,1,0)</f>
        <v>CS 180</v>
      </c>
      <c r="D3" s="32">
        <v>25</v>
      </c>
      <c r="E3" s="35">
        <v>44874</v>
      </c>
      <c r="F3" t="str" cm="1">
        <f t="array" ref="F3">insertinto(A3:E3,$G$2:$H$6,"pr_Midterms")</f>
        <v>insert into pr_Midterms values ('M-2', 'Midterm Exam', 'CS 180', 25, '09-Nov-2022');</v>
      </c>
      <c r="G3" s="14" t="s">
        <v>4198</v>
      </c>
      <c r="H3" s="14" t="s">
        <v>4231</v>
      </c>
    </row>
    <row r="4" spans="1:8" x14ac:dyDescent="0.15">
      <c r="A4" s="14" t="s">
        <v>4331</v>
      </c>
      <c r="B4" s="14" t="s">
        <v>4200</v>
      </c>
      <c r="C4" t="str">
        <f xml:space="preserve"> VLOOKUP(Courses!A4,Courses!A:D,1,0)</f>
        <v>CS 105</v>
      </c>
      <c r="D4" s="32">
        <v>30</v>
      </c>
      <c r="E4" s="35">
        <v>44867</v>
      </c>
      <c r="F4" t="str" cm="1">
        <f t="array" ref="F4">insertinto(A4:E4,$G$2:$H$6,"pr_Midterms")</f>
        <v>insert into pr_Midterms values ('M-3', 'Midterm Exam', 'CS 105', 30, '02-Nov-2022');</v>
      </c>
      <c r="G4" s="14" t="s">
        <v>4174</v>
      </c>
      <c r="H4" s="14" t="s">
        <v>4231</v>
      </c>
    </row>
    <row r="5" spans="1:8" x14ac:dyDescent="0.15">
      <c r="A5" s="14" t="s">
        <v>4332</v>
      </c>
      <c r="B5" s="14" t="s">
        <v>4200</v>
      </c>
      <c r="C5" t="str">
        <f xml:space="preserve"> VLOOKUP(Courses!A6,Courses!A:D,1,0)</f>
        <v>MATH 120</v>
      </c>
      <c r="D5" s="32">
        <v>40</v>
      </c>
      <c r="E5" s="35">
        <v>44977</v>
      </c>
      <c r="F5" t="str" cm="1">
        <f t="array" ref="F5">insertinto(A5:E5,$G$2:$H$6,"pr_Midterms")</f>
        <v>insert into pr_Midterms values ('M-4', 'Midterm Exam', 'MATH 120', 40, '20-Feb-2023');</v>
      </c>
      <c r="G5" s="14" t="s">
        <v>4199</v>
      </c>
      <c r="H5" s="14" t="s">
        <v>4232</v>
      </c>
    </row>
    <row r="6" spans="1:8" x14ac:dyDescent="0.15">
      <c r="A6" s="14" t="s">
        <v>4333</v>
      </c>
      <c r="B6" s="14" t="s">
        <v>4200</v>
      </c>
      <c r="C6" t="str">
        <f xml:space="preserve"> VLOOKUP(Courses!A8,Courses!A:D,1,0)</f>
        <v>CS 106</v>
      </c>
      <c r="D6" s="32">
        <v>30</v>
      </c>
      <c r="E6" s="35">
        <v>44975</v>
      </c>
      <c r="F6" t="str" cm="1">
        <f t="array" ref="F6">insertinto(A6:E6,$G$2:$H$6,"pr_Midterms")</f>
        <v>insert into pr_Midterms values ('M-5', 'Midterm Exam', 'CS 106', 30, '18-Feb-2023');</v>
      </c>
      <c r="G6" s="14" t="s">
        <v>4218</v>
      </c>
      <c r="H6" s="14" t="s">
        <v>4201</v>
      </c>
    </row>
    <row r="7" spans="1:8" x14ac:dyDescent="0.15">
      <c r="A7" s="14" t="s">
        <v>4334</v>
      </c>
      <c r="B7" s="14" t="s">
        <v>4200</v>
      </c>
      <c r="C7" t="str">
        <f xml:space="preserve"> VLOOKUP(Courses!A15,Courses!A:D,1,0)</f>
        <v>CS 215</v>
      </c>
      <c r="D7" s="32">
        <v>30</v>
      </c>
      <c r="E7" s="35">
        <v>45231</v>
      </c>
      <c r="F7" t="str" cm="1">
        <f t="array" ref="F7">insertinto(A7:E7,$G$2:$H$6,"pr_Midterms")</f>
        <v>insert into pr_Midterms values ('M-6', 'Midterm Exam', 'CS 215', 30, '01-Nov-2023');</v>
      </c>
    </row>
    <row r="8" spans="1:8" x14ac:dyDescent="0.15">
      <c r="D8" s="27"/>
      <c r="E8" s="32"/>
    </row>
    <row r="9" spans="1:8" x14ac:dyDescent="0.15">
      <c r="D9" s="27"/>
      <c r="E9" s="27"/>
    </row>
    <row r="10" spans="1:8" x14ac:dyDescent="0.15">
      <c r="D10" s="27"/>
      <c r="E10" s="27"/>
    </row>
    <row r="11" spans="1:8" x14ac:dyDescent="0.15">
      <c r="D11" s="27"/>
      <c r="E11" s="27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71C2B-8B2B-C248-8B14-A828D3D7661F}">
  <dimension ref="A1:G12"/>
  <sheetViews>
    <sheetView zoomScale="125" workbookViewId="0">
      <selection activeCell="E2" sqref="E2:E12"/>
    </sheetView>
  </sheetViews>
  <sheetFormatPr baseColWidth="10" defaultRowHeight="13" x14ac:dyDescent="0.15"/>
  <cols>
    <col min="2" max="2" width="11.83203125" bestFit="1" customWidth="1"/>
    <col min="3" max="4" width="16.5" bestFit="1" customWidth="1"/>
    <col min="5" max="5" width="55.5" bestFit="1" customWidth="1"/>
    <col min="6" max="6" width="65.5" bestFit="1" customWidth="1"/>
  </cols>
  <sheetData>
    <row r="1" spans="1:7" x14ac:dyDescent="0.15">
      <c r="A1" s="28" t="s">
        <v>4207</v>
      </c>
      <c r="B1" s="29" t="s">
        <v>4174</v>
      </c>
      <c r="C1" s="26" t="s">
        <v>4199</v>
      </c>
      <c r="D1" s="26" t="s">
        <v>4201</v>
      </c>
    </row>
    <row r="2" spans="1:7" x14ac:dyDescent="0.15">
      <c r="A2" t="s">
        <v>4316</v>
      </c>
      <c r="B2" t="str">
        <f xml:space="preserve"> VLOOKUP(Courses!A2,Courses!A:D,1,0)</f>
        <v>ENG 101</v>
      </c>
      <c r="C2" s="32">
        <v>35</v>
      </c>
      <c r="D2" s="35">
        <v>44900</v>
      </c>
      <c r="E2" t="str" cm="1">
        <f t="array" ref="E2">insertinto(A2:D2,$F$2:$G$5,"pr_Finals")</f>
        <v>insert into pr_Finals values ('F-0287', 'ENG 101', 35, '05-Dec-2022');</v>
      </c>
      <c r="F2" s="14" t="s">
        <v>4207</v>
      </c>
      <c r="G2" s="14" t="s">
        <v>4231</v>
      </c>
    </row>
    <row r="3" spans="1:7" x14ac:dyDescent="0.15">
      <c r="A3" t="s">
        <v>4317</v>
      </c>
      <c r="B3" t="str">
        <f xml:space="preserve"> VLOOKUP(Courses!A3,Courses!A:D,1,0)</f>
        <v>CS 180</v>
      </c>
      <c r="C3" s="32">
        <v>35</v>
      </c>
      <c r="D3" s="35">
        <v>44907</v>
      </c>
      <c r="E3" t="str" cm="1">
        <f t="array" ref="E3">insertinto(A3:D3,$F$2:$G$5,"pr_Finals")</f>
        <v>insert into pr_Finals values ('F-0587', 'CS 180', 35, '12-Dec-2022');</v>
      </c>
      <c r="F3" s="14" t="s">
        <v>4174</v>
      </c>
      <c r="G3" s="14" t="s">
        <v>4231</v>
      </c>
    </row>
    <row r="4" spans="1:7" x14ac:dyDescent="0.15">
      <c r="A4" t="s">
        <v>4318</v>
      </c>
      <c r="B4" t="str">
        <f xml:space="preserve"> VLOOKUP(Courses!A4,Courses!A:D,1,0)</f>
        <v>CS 105</v>
      </c>
      <c r="C4" s="32">
        <v>40</v>
      </c>
      <c r="D4" s="35">
        <v>44910</v>
      </c>
      <c r="E4" t="str" cm="1">
        <f t="array" ref="E4">insertinto(A4:D4,$F$2:$G$5,"pr_Finals")</f>
        <v>insert into pr_Finals values ('F-0443', 'CS 105', 40, '15-Dec-2022');</v>
      </c>
      <c r="F4" s="14" t="s">
        <v>4199</v>
      </c>
      <c r="G4" s="14" t="s">
        <v>4232</v>
      </c>
    </row>
    <row r="5" spans="1:7" x14ac:dyDescent="0.15">
      <c r="A5" t="s">
        <v>4319</v>
      </c>
      <c r="B5" t="str">
        <f xml:space="preserve"> VLOOKUP(Courses!A5,Courses!A:D,1,0)</f>
        <v>ECO 110</v>
      </c>
      <c r="C5" s="32">
        <v>45</v>
      </c>
      <c r="D5" s="35">
        <v>44904</v>
      </c>
      <c r="E5" t="str" cm="1">
        <f t="array" ref="E5">insertinto(A5:D5,$F$2:$G$5,"pr_Finals")</f>
        <v>insert into pr_Finals values ('F-0771', 'ECO 110', 45, '09-Dec-2022');</v>
      </c>
      <c r="F5" s="14" t="s">
        <v>4218</v>
      </c>
      <c r="G5" s="14" t="s">
        <v>4201</v>
      </c>
    </row>
    <row r="6" spans="1:7" x14ac:dyDescent="0.15">
      <c r="A6" t="s">
        <v>4320</v>
      </c>
      <c r="B6" t="str">
        <f xml:space="preserve"> VLOOKUP(Courses!A6,Courses!A:D,1,0)</f>
        <v>MATH 120</v>
      </c>
      <c r="C6" s="32">
        <v>60</v>
      </c>
      <c r="D6" s="35">
        <v>45014</v>
      </c>
      <c r="E6" t="str" cm="1">
        <f t="array" ref="E6">insertinto(A6:D6,$F$2:$G$5,"pr_Finals")</f>
        <v>insert into pr_Finals values ('F-0080', 'MATH 120', 60, '29-Mar-2023');</v>
      </c>
    </row>
    <row r="7" spans="1:7" x14ac:dyDescent="0.15">
      <c r="A7" t="s">
        <v>4321</v>
      </c>
      <c r="B7" t="str">
        <f xml:space="preserve"> VLOOKUP(Courses!A8,Courses!A:D,1,0)</f>
        <v>CS 106</v>
      </c>
      <c r="C7" s="32">
        <v>40</v>
      </c>
      <c r="D7" s="35">
        <v>45016</v>
      </c>
      <c r="E7" t="str" cm="1">
        <f t="array" ref="E7">insertinto(A7:D7,$F$2:$G$5,"pr_Finals")</f>
        <v>insert into pr_Finals values ('F-0106', 'CS 106', 40, '31-Mar-2023');</v>
      </c>
    </row>
    <row r="8" spans="1:7" x14ac:dyDescent="0.15">
      <c r="A8" t="s">
        <v>4322</v>
      </c>
      <c r="B8" t="str">
        <f xml:space="preserve"> VLOOKUP(Courses!A9,Courses!A:D,1,0)</f>
        <v>CS 107</v>
      </c>
      <c r="C8" s="32">
        <v>30</v>
      </c>
      <c r="D8" s="35">
        <v>45018</v>
      </c>
      <c r="E8" t="str" cm="1">
        <f t="array" ref="E8">insertinto(A8:D8,$F$2:$G$5,"pr_Finals")</f>
        <v>insert into pr_Finals values ('F-0663', 'CS 107', 30, '02-Apr-2023');</v>
      </c>
    </row>
    <row r="9" spans="1:7" x14ac:dyDescent="0.15">
      <c r="A9" t="s">
        <v>4323</v>
      </c>
      <c r="B9" t="str">
        <f xml:space="preserve"> VLOOKUP(Courses!A10,Courses!A:D,1,0)</f>
        <v>ART 120</v>
      </c>
      <c r="C9" s="32">
        <v>40</v>
      </c>
      <c r="D9" s="35">
        <v>45086</v>
      </c>
      <c r="E9" t="str" cm="1">
        <f t="array" ref="E9">insertinto(A9:D9,$F$2:$G$5,"pr_Finals")</f>
        <v>insert into pr_Finals values ('F-0740', 'ART 120', 40, '09-Jun-2023');</v>
      </c>
    </row>
    <row r="10" spans="1:7" x14ac:dyDescent="0.15">
      <c r="A10" t="s">
        <v>4324</v>
      </c>
      <c r="B10" t="str">
        <f xml:space="preserve"> VLOOKUP(Courses!A11,Courses!A:D,1,0)</f>
        <v>HIS 120</v>
      </c>
      <c r="C10" s="32">
        <v>55</v>
      </c>
      <c r="D10" s="35">
        <v>45088</v>
      </c>
      <c r="E10" t="str" cm="1">
        <f t="array" ref="E10">insertinto(A10:D10,$F$2:$G$5,"pr_Finals")</f>
        <v>insert into pr_Finals values ('F-0603', 'HIS 120', 55, '11-Jun-2023');</v>
      </c>
    </row>
    <row r="11" spans="1:7" x14ac:dyDescent="0.15">
      <c r="A11" t="s">
        <v>4325</v>
      </c>
      <c r="B11" t="str">
        <f xml:space="preserve"> VLOOKUP(Courses!A14,Courses!A:D,1,0)</f>
        <v>CS 205</v>
      </c>
      <c r="C11" s="32">
        <v>25</v>
      </c>
      <c r="D11" s="35">
        <v>45273</v>
      </c>
      <c r="E11" t="str" cm="1">
        <f t="array" ref="E11">insertinto(A11:D11,$F$2:$G$5,"pr_Finals")</f>
        <v>insert into pr_Finals values ('F-0428', 'CS 205', 25, '13-Dec-2023');</v>
      </c>
    </row>
    <row r="12" spans="1:7" x14ac:dyDescent="0.15">
      <c r="A12" t="s">
        <v>4326</v>
      </c>
      <c r="B12" t="str">
        <f xml:space="preserve"> VLOOKUP(Courses!A15,Courses!A:D,1,0)</f>
        <v>CS 215</v>
      </c>
      <c r="C12" s="32">
        <v>40</v>
      </c>
      <c r="D12" s="35">
        <v>45275</v>
      </c>
      <c r="E12" t="str" cm="1">
        <f t="array" ref="E12">insertinto(A12:D12,$F$2:$G$5,"pr_Finals")</f>
        <v>insert into pr_Finals values ('F-0732', 'CS 215', 40, '15-Dec-2023');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524669-F6D1-5E4F-BC3B-C19683143B22}">
  <dimension ref="A1:J1701"/>
  <sheetViews>
    <sheetView zoomScale="106" workbookViewId="0">
      <selection activeCell="E2" sqref="E2:E681"/>
    </sheetView>
  </sheetViews>
  <sheetFormatPr baseColWidth="10" defaultRowHeight="13" x14ac:dyDescent="0.15"/>
  <cols>
    <col min="3" max="4" width="13.6640625" bestFit="1" customWidth="1"/>
    <col min="5" max="5" width="67" bestFit="1" customWidth="1"/>
    <col min="6" max="6" width="78.33203125" bestFit="1" customWidth="1"/>
    <col min="7" max="7" width="13" bestFit="1" customWidth="1"/>
  </cols>
  <sheetData>
    <row r="1" spans="1:10" x14ac:dyDescent="0.15">
      <c r="A1" s="23" t="s">
        <v>4135</v>
      </c>
      <c r="B1" s="23" t="s">
        <v>4216</v>
      </c>
      <c r="C1" s="26" t="s">
        <v>4203</v>
      </c>
      <c r="D1" s="22" t="s">
        <v>4202</v>
      </c>
    </row>
    <row r="2" spans="1:10" x14ac:dyDescent="0.15">
      <c r="A2">
        <f t="shared" ref="A2:A65" si="0">INDEX($I$2:$I$51,INT(H2/34)+1)</f>
        <v>20229553</v>
      </c>
      <c r="B2" t="str">
        <f t="shared" ref="B2:B65" si="1">INDEX($J$2:$J$35,MOD(H2,34)+1)</f>
        <v>T-00</v>
      </c>
      <c r="C2" s="32">
        <v>44946</v>
      </c>
      <c r="D2" s="25">
        <v>91</v>
      </c>
      <c r="E2" t="str" cm="1">
        <f t="array" ref="E2">insertinto(A2:D2,$F$2:$G$5,"pr_Assignments_Results")</f>
        <v>insert into pr_Assignments_Results values ('20229553', 'T-00', '20-Jan-2023', 91);</v>
      </c>
      <c r="F2" s="14" t="s">
        <v>4135</v>
      </c>
      <c r="G2" s="14" t="s">
        <v>4231</v>
      </c>
      <c r="H2">
        <v>0</v>
      </c>
      <c r="I2">
        <f xml:space="preserve"> VLOOKUP(Students!C2,Students!C:I,1,0)</f>
        <v>20229553</v>
      </c>
      <c r="J2" t="str">
        <f xml:space="preserve"> VLOOKUP(Assignments_Tests!A2,Assignments_Tests!A:F,1,0)</f>
        <v>T-00</v>
      </c>
    </row>
    <row r="3" spans="1:10" x14ac:dyDescent="0.15">
      <c r="A3">
        <f t="shared" si="0"/>
        <v>20229553</v>
      </c>
      <c r="B3" t="str">
        <f t="shared" si="1"/>
        <v>T-01</v>
      </c>
      <c r="C3" s="32">
        <v>44854</v>
      </c>
      <c r="D3" s="25">
        <v>80</v>
      </c>
      <c r="E3" t="str" cm="1">
        <f t="array" ref="E3">insertinto(A3:D3,$F$2:$G$5,"pr_Assignments_Results")</f>
        <v>insert into pr_Assignments_Results values ('20229553', 'T-01', '20-Oct-2022', 80);</v>
      </c>
      <c r="F3" s="14" t="s">
        <v>4216</v>
      </c>
      <c r="G3" s="14" t="s">
        <v>4231</v>
      </c>
      <c r="H3">
        <v>1</v>
      </c>
      <c r="I3">
        <f xml:space="preserve"> VLOOKUP(Students!C3,Students!C:I,1,0)</f>
        <v>20221414</v>
      </c>
      <c r="J3" t="str">
        <f xml:space="preserve"> VLOOKUP(Assignments_Tests!A3,Assignments_Tests!A:F,1,0)</f>
        <v>T-01</v>
      </c>
    </row>
    <row r="4" spans="1:10" x14ac:dyDescent="0.15">
      <c r="A4">
        <f t="shared" si="0"/>
        <v>20229553</v>
      </c>
      <c r="B4" t="str">
        <f t="shared" si="1"/>
        <v>T-02</v>
      </c>
      <c r="C4" s="32">
        <v>44873</v>
      </c>
      <c r="D4" s="25">
        <v>95</v>
      </c>
      <c r="E4" t="str" cm="1">
        <f t="array" ref="E4">insertinto(A4:D4,$F$2:$G$5,"pr_Assignments_Results")</f>
        <v>insert into pr_Assignments_Results values ('20229553', 'T-02', '08-Nov-2022', 95);</v>
      </c>
      <c r="F4" s="14" t="s">
        <v>4203</v>
      </c>
      <c r="G4" s="14" t="s">
        <v>4201</v>
      </c>
      <c r="H4">
        <v>2</v>
      </c>
      <c r="I4">
        <f xml:space="preserve"> VLOOKUP(Students!C4,Students!C:I,1,0)</f>
        <v>20224306</v>
      </c>
      <c r="J4" t="str">
        <f xml:space="preserve"> VLOOKUP(Assignments_Tests!A4,Assignments_Tests!A:F,1,0)</f>
        <v>T-02</v>
      </c>
    </row>
    <row r="5" spans="1:10" x14ac:dyDescent="0.15">
      <c r="A5">
        <f t="shared" si="0"/>
        <v>20229553</v>
      </c>
      <c r="B5" t="str">
        <f t="shared" si="1"/>
        <v>T-03</v>
      </c>
      <c r="C5" s="32">
        <v>44881</v>
      </c>
      <c r="D5" s="25">
        <v>97</v>
      </c>
      <c r="E5" t="str" cm="1">
        <f t="array" ref="E5">insertinto(A5:D5,$F$2:$G$5,"pr_Assignments_Results")</f>
        <v>insert into pr_Assignments_Results values ('20229553', 'T-03', '16-Nov-2022', 97);</v>
      </c>
      <c r="F5" s="14" t="s">
        <v>4202</v>
      </c>
      <c r="G5" s="14" t="s">
        <v>4232</v>
      </c>
      <c r="H5">
        <v>3</v>
      </c>
      <c r="I5">
        <f xml:space="preserve"> VLOOKUP(Students!C5,Students!C:I,1,0)</f>
        <v>20220731</v>
      </c>
      <c r="J5" t="str">
        <f xml:space="preserve"> VLOOKUP(Assignments_Tests!A5,Assignments_Tests!A:F,1,0)</f>
        <v>T-03</v>
      </c>
    </row>
    <row r="6" spans="1:10" x14ac:dyDescent="0.15">
      <c r="A6">
        <f t="shared" si="0"/>
        <v>20229553</v>
      </c>
      <c r="B6" t="str">
        <f t="shared" si="1"/>
        <v>T-04</v>
      </c>
      <c r="C6" s="32">
        <v>44850</v>
      </c>
      <c r="D6" s="25">
        <v>99</v>
      </c>
      <c r="E6" t="str" cm="1">
        <f t="array" ref="E6">insertinto(A6:D6,$F$2:$G$5,"pr_Assignments_Results")</f>
        <v>insert into pr_Assignments_Results values ('20229553', 'T-04', '16-Oct-2022', 99);</v>
      </c>
      <c r="H6">
        <v>4</v>
      </c>
      <c r="I6">
        <f xml:space="preserve"> VLOOKUP(Students!C6,Students!C:I,1,0)</f>
        <v>20227092</v>
      </c>
      <c r="J6" t="str">
        <f xml:space="preserve"> VLOOKUP(Assignments_Tests!A6,Assignments_Tests!A:F,1,0)</f>
        <v>T-04</v>
      </c>
    </row>
    <row r="7" spans="1:10" x14ac:dyDescent="0.15">
      <c r="A7">
        <f t="shared" si="0"/>
        <v>20229553</v>
      </c>
      <c r="B7" t="str">
        <f t="shared" si="1"/>
        <v>T-05</v>
      </c>
      <c r="C7" s="32">
        <v>44840</v>
      </c>
      <c r="D7" s="25">
        <v>80</v>
      </c>
      <c r="E7" t="str" cm="1">
        <f t="array" ref="E7">insertinto(A7:D7,$F$2:$G$5,"pr_Assignments_Results")</f>
        <v>insert into pr_Assignments_Results values ('20229553', 'T-05', '06-Oct-2022', 80);</v>
      </c>
      <c r="H7">
        <v>5</v>
      </c>
      <c r="I7">
        <f xml:space="preserve"> VLOOKUP(Students!C7,Students!C:I,1,0)</f>
        <v>20226184</v>
      </c>
      <c r="J7" t="str">
        <f xml:space="preserve"> VLOOKUP(Assignments_Tests!A7,Assignments_Tests!A:F,1,0)</f>
        <v>T-05</v>
      </c>
    </row>
    <row r="8" spans="1:10" x14ac:dyDescent="0.15">
      <c r="A8">
        <f t="shared" si="0"/>
        <v>20229553</v>
      </c>
      <c r="B8" t="str">
        <f t="shared" si="1"/>
        <v>T-06</v>
      </c>
      <c r="C8" s="32">
        <v>44892</v>
      </c>
      <c r="D8" s="25">
        <v>95</v>
      </c>
      <c r="E8" t="str" cm="1">
        <f t="array" ref="E8">insertinto(A8:D8,$F$2:$G$5,"pr_Assignments_Results")</f>
        <v>insert into pr_Assignments_Results values ('20229553', 'T-06', '27-Nov-2022', 95);</v>
      </c>
      <c r="H8">
        <v>6</v>
      </c>
      <c r="I8">
        <f xml:space="preserve"> VLOOKUP(Students!C8,Students!C:I,1,0)</f>
        <v>20229558</v>
      </c>
      <c r="J8" t="str">
        <f xml:space="preserve"> VLOOKUP(Assignments_Tests!A8,Assignments_Tests!A:F,1,0)</f>
        <v>T-06</v>
      </c>
    </row>
    <row r="9" spans="1:10" x14ac:dyDescent="0.15">
      <c r="A9">
        <f t="shared" si="0"/>
        <v>20229553</v>
      </c>
      <c r="B9" t="str">
        <f t="shared" si="1"/>
        <v>T-07</v>
      </c>
      <c r="C9" s="32">
        <v>44844</v>
      </c>
      <c r="D9" s="25">
        <v>73</v>
      </c>
      <c r="E9" t="str" cm="1">
        <f t="array" ref="E9">insertinto(A9:D9,$F$2:$G$5,"pr_Assignments_Results")</f>
        <v>insert into pr_Assignments_Results values ('20229553', 'T-07', '10-Oct-2022', 73);</v>
      </c>
      <c r="H9">
        <v>7</v>
      </c>
      <c r="I9">
        <f xml:space="preserve"> VLOOKUP(Students!C9,Students!C:I,1,0)</f>
        <v>20228839</v>
      </c>
      <c r="J9" t="str">
        <f xml:space="preserve"> VLOOKUP(Assignments_Tests!A9,Assignments_Tests!A:F,1,0)</f>
        <v>T-07</v>
      </c>
    </row>
    <row r="10" spans="1:10" x14ac:dyDescent="0.15">
      <c r="A10">
        <f t="shared" si="0"/>
        <v>20229553</v>
      </c>
      <c r="B10" t="str">
        <f t="shared" si="1"/>
        <v>T-08</v>
      </c>
      <c r="C10" s="32">
        <v>44857</v>
      </c>
      <c r="D10" s="25">
        <v>71</v>
      </c>
      <c r="E10" t="str" cm="1">
        <f t="array" ref="E10">insertinto(A10:D10,$F$2:$G$5,"pr_Assignments_Results")</f>
        <v>insert into pr_Assignments_Results values ('20229553', 'T-08', '23-Oct-2022', 71);</v>
      </c>
      <c r="H10">
        <v>8</v>
      </c>
      <c r="I10">
        <f xml:space="preserve"> VLOOKUP(Students!C10,Students!C:I,1,0)</f>
        <v>20227541</v>
      </c>
      <c r="J10" t="str">
        <f xml:space="preserve"> VLOOKUP(Assignments_Tests!A10,Assignments_Tests!A:F,1,0)</f>
        <v>T-08</v>
      </c>
    </row>
    <row r="11" spans="1:10" x14ac:dyDescent="0.15">
      <c r="A11">
        <f t="shared" si="0"/>
        <v>20229553</v>
      </c>
      <c r="B11" t="str">
        <f t="shared" si="1"/>
        <v>T-09</v>
      </c>
      <c r="C11" s="32">
        <v>44879</v>
      </c>
      <c r="D11" s="25">
        <v>79</v>
      </c>
      <c r="E11" t="str" cm="1">
        <f t="array" ref="E11">insertinto(A11:D11,$F$2:$G$5,"pr_Assignments_Results")</f>
        <v>insert into pr_Assignments_Results values ('20229553', 'T-09', '14-Nov-2022', 79);</v>
      </c>
      <c r="H11">
        <v>9</v>
      </c>
      <c r="I11">
        <f xml:space="preserve"> VLOOKUP(Students!C11,Students!C:I,1,0)</f>
        <v>20227466</v>
      </c>
      <c r="J11" t="str">
        <f xml:space="preserve"> VLOOKUP(Assignments_Tests!A11,Assignments_Tests!A:F,1,0)</f>
        <v>T-09</v>
      </c>
    </row>
    <row r="12" spans="1:10" x14ac:dyDescent="0.15">
      <c r="A12">
        <f t="shared" si="0"/>
        <v>20229553</v>
      </c>
      <c r="B12" t="str">
        <f t="shared" si="1"/>
        <v>T-10</v>
      </c>
      <c r="C12" s="32">
        <v>44892</v>
      </c>
      <c r="D12" s="25">
        <v>90</v>
      </c>
      <c r="E12" t="str" cm="1">
        <f t="array" ref="E12">insertinto(A12:D12,$F$2:$G$5,"pr_Assignments_Results")</f>
        <v>insert into pr_Assignments_Results values ('20229553', 'T-10', '27-Nov-2022', 90);</v>
      </c>
      <c r="H12">
        <v>10</v>
      </c>
      <c r="I12">
        <f xml:space="preserve"> VLOOKUP(Students!C12,Students!C:I,1,0)</f>
        <v>20226221</v>
      </c>
      <c r="J12" t="str">
        <f xml:space="preserve"> VLOOKUP(Assignments_Tests!A12,Assignments_Tests!A:F,1,0)</f>
        <v>T-10</v>
      </c>
    </row>
    <row r="13" spans="1:10" x14ac:dyDescent="0.15">
      <c r="A13">
        <f t="shared" si="0"/>
        <v>20229553</v>
      </c>
      <c r="B13" t="str">
        <f t="shared" si="1"/>
        <v>T-11</v>
      </c>
      <c r="C13" s="32">
        <v>44958</v>
      </c>
      <c r="D13" s="25">
        <v>78</v>
      </c>
      <c r="E13" t="str" cm="1">
        <f t="array" ref="E13">insertinto(A13:D13,$F$2:$G$5,"pr_Assignments_Results")</f>
        <v>insert into pr_Assignments_Results values ('20229553', 'T-11', '01-Feb-2023', 78);</v>
      </c>
      <c r="H13">
        <v>11</v>
      </c>
      <c r="I13">
        <f xml:space="preserve"> VLOOKUP(Students!C13,Students!C:I,1,0)</f>
        <v>20224946</v>
      </c>
      <c r="J13" t="str">
        <f xml:space="preserve"> VLOOKUP(Assignments_Tests!A13,Assignments_Tests!A:F,1,0)</f>
        <v>T-11</v>
      </c>
    </row>
    <row r="14" spans="1:10" x14ac:dyDescent="0.15">
      <c r="A14">
        <f t="shared" si="0"/>
        <v>20229553</v>
      </c>
      <c r="B14" t="str">
        <f t="shared" si="1"/>
        <v>T-12</v>
      </c>
      <c r="C14" s="32">
        <v>44973</v>
      </c>
      <c r="D14" s="25">
        <v>95</v>
      </c>
      <c r="E14" t="str" cm="1">
        <f t="array" ref="E14">insertinto(A14:D14,$F$2:$G$5,"pr_Assignments_Results")</f>
        <v>insert into pr_Assignments_Results values ('20229553', 'T-12', '16-Feb-2023', 95);</v>
      </c>
      <c r="H14">
        <v>12</v>
      </c>
      <c r="I14">
        <f xml:space="preserve"> VLOOKUP(Students!C14,Students!C:I,1,0)</f>
        <v>20227782</v>
      </c>
      <c r="J14" t="str">
        <f xml:space="preserve"> VLOOKUP(Assignments_Tests!A14,Assignments_Tests!A:F,1,0)</f>
        <v>T-12</v>
      </c>
    </row>
    <row r="15" spans="1:10" x14ac:dyDescent="0.15">
      <c r="A15">
        <f t="shared" si="0"/>
        <v>20229553</v>
      </c>
      <c r="B15" t="str">
        <f t="shared" si="1"/>
        <v>T-13</v>
      </c>
      <c r="C15" s="32">
        <v>44982</v>
      </c>
      <c r="D15" s="25">
        <v>84</v>
      </c>
      <c r="E15" t="str" cm="1">
        <f t="array" ref="E15">insertinto(A15:D15,$F$2:$G$5,"pr_Assignments_Results")</f>
        <v>insert into pr_Assignments_Results values ('20229553', 'T-13', '25-Feb-2023', 84);</v>
      </c>
      <c r="H15">
        <v>13</v>
      </c>
      <c r="I15">
        <f xml:space="preserve"> VLOOKUP(Students!C15,Students!C:I,1,0)</f>
        <v>20227177</v>
      </c>
      <c r="J15" t="str">
        <f xml:space="preserve"> VLOOKUP(Assignments_Tests!A15,Assignments_Tests!A:F,1,0)</f>
        <v>T-13</v>
      </c>
    </row>
    <row r="16" spans="1:10" x14ac:dyDescent="0.15">
      <c r="A16">
        <f t="shared" si="0"/>
        <v>20229553</v>
      </c>
      <c r="B16" t="str">
        <f t="shared" si="1"/>
        <v>T-14</v>
      </c>
      <c r="C16" s="32">
        <v>44994</v>
      </c>
      <c r="D16" s="25">
        <v>84</v>
      </c>
      <c r="E16" t="str" cm="1">
        <f t="array" ref="E16">insertinto(A16:D16,$F$2:$G$5,"pr_Assignments_Results")</f>
        <v>insert into pr_Assignments_Results values ('20229553', 'T-14', '09-Mar-2023', 84);</v>
      </c>
      <c r="H16">
        <v>14</v>
      </c>
      <c r="I16">
        <f xml:space="preserve"> VLOOKUP(Students!C16,Students!C:I,1,0)</f>
        <v>20221564</v>
      </c>
      <c r="J16" t="str">
        <f xml:space="preserve"> VLOOKUP(Assignments_Tests!A16,Assignments_Tests!A:F,1,0)</f>
        <v>T-14</v>
      </c>
    </row>
    <row r="17" spans="1:10" x14ac:dyDescent="0.15">
      <c r="A17">
        <f t="shared" si="0"/>
        <v>20229553</v>
      </c>
      <c r="B17" t="str">
        <f t="shared" si="1"/>
        <v>T-15</v>
      </c>
      <c r="C17" s="32">
        <v>44955</v>
      </c>
      <c r="D17" s="25">
        <v>99</v>
      </c>
      <c r="E17" t="str" cm="1">
        <f t="array" ref="E17">insertinto(A17:D17,$F$2:$G$5,"pr_Assignments_Results")</f>
        <v>insert into pr_Assignments_Results values ('20229553', 'T-15', '29-Jan-2023', 99);</v>
      </c>
      <c r="H17">
        <v>15</v>
      </c>
      <c r="I17">
        <f xml:space="preserve"> VLOOKUP(Students!C17,Students!C:I,1,0)</f>
        <v>20224484</v>
      </c>
      <c r="J17" t="str">
        <f xml:space="preserve"> VLOOKUP(Assignments_Tests!A17,Assignments_Tests!A:F,1,0)</f>
        <v>T-15</v>
      </c>
    </row>
    <row r="18" spans="1:10" x14ac:dyDescent="0.15">
      <c r="A18">
        <f t="shared" si="0"/>
        <v>20229553</v>
      </c>
      <c r="B18" t="str">
        <f t="shared" si="1"/>
        <v>T-16</v>
      </c>
      <c r="C18" s="32">
        <v>44971</v>
      </c>
      <c r="D18" s="25">
        <v>71</v>
      </c>
      <c r="E18" t="str" cm="1">
        <f t="array" ref="E18">insertinto(A18:D18,$F$2:$G$5,"pr_Assignments_Results")</f>
        <v>insert into pr_Assignments_Results values ('20229553', 'T-16', '14-Feb-2023', 71);</v>
      </c>
      <c r="H18">
        <v>16</v>
      </c>
      <c r="I18">
        <f xml:space="preserve"> VLOOKUP(Students!C18,Students!C:I,1,0)</f>
        <v>20226724</v>
      </c>
      <c r="J18" t="str">
        <f xml:space="preserve"> VLOOKUP(Assignments_Tests!A18,Assignments_Tests!A:F,1,0)</f>
        <v>T-16</v>
      </c>
    </row>
    <row r="19" spans="1:10" x14ac:dyDescent="0.15">
      <c r="A19">
        <f t="shared" si="0"/>
        <v>20229553</v>
      </c>
      <c r="B19" t="str">
        <f t="shared" si="1"/>
        <v>T-17</v>
      </c>
      <c r="C19" s="32">
        <v>44982</v>
      </c>
      <c r="D19" s="25">
        <v>96</v>
      </c>
      <c r="E19" t="str" cm="1">
        <f t="array" ref="E19">insertinto(A19:D19,$F$2:$G$5,"pr_Assignments_Results")</f>
        <v>insert into pr_Assignments_Results values ('20229553', 'T-17', '25-Feb-2023', 96);</v>
      </c>
      <c r="H19">
        <v>17</v>
      </c>
      <c r="I19">
        <f xml:space="preserve"> VLOOKUP(Students!C19,Students!C:I,1,0)</f>
        <v>20225519</v>
      </c>
      <c r="J19" t="str">
        <f xml:space="preserve"> VLOOKUP(Assignments_Tests!A19,Assignments_Tests!A:F,1,0)</f>
        <v>T-17</v>
      </c>
    </row>
    <row r="20" spans="1:10" x14ac:dyDescent="0.15">
      <c r="A20">
        <f t="shared" si="0"/>
        <v>20229553</v>
      </c>
      <c r="B20" t="str">
        <f t="shared" si="1"/>
        <v>T-18</v>
      </c>
      <c r="C20" s="32">
        <v>44963</v>
      </c>
      <c r="D20" s="25">
        <v>91</v>
      </c>
      <c r="E20" t="str" cm="1">
        <f t="array" ref="E20">insertinto(A20:D20,$F$2:$G$5,"pr_Assignments_Results")</f>
        <v>insert into pr_Assignments_Results values ('20229553', 'T-18', '06-Feb-2023', 91);</v>
      </c>
      <c r="H20">
        <v>18</v>
      </c>
      <c r="I20">
        <f xml:space="preserve"> VLOOKUP(Students!C20,Students!C:I,1,0)</f>
        <v>20227388</v>
      </c>
      <c r="J20" t="str">
        <f xml:space="preserve"> VLOOKUP(Assignments_Tests!A20,Assignments_Tests!A:F,1,0)</f>
        <v>T-18</v>
      </c>
    </row>
    <row r="21" spans="1:10" x14ac:dyDescent="0.15">
      <c r="A21">
        <f t="shared" si="0"/>
        <v>20229553</v>
      </c>
      <c r="B21" t="str">
        <f t="shared" si="1"/>
        <v>T-19</v>
      </c>
      <c r="C21" s="32">
        <v>45048</v>
      </c>
      <c r="D21" s="25">
        <v>88</v>
      </c>
      <c r="E21" t="str" cm="1">
        <f t="array" ref="E21">insertinto(A21:D21,$F$2:$G$5,"pr_Assignments_Results")</f>
        <v>insert into pr_Assignments_Results values ('20229553', 'T-19', '02-May-2023', 88);</v>
      </c>
      <c r="H21">
        <v>19</v>
      </c>
      <c r="I21">
        <f xml:space="preserve"> VLOOKUP(Students!C21,Students!C:I,1,0)</f>
        <v>20223671</v>
      </c>
      <c r="J21" t="str">
        <f xml:space="preserve"> VLOOKUP(Assignments_Tests!A21,Assignments_Tests!A:F,1,0)</f>
        <v>T-19</v>
      </c>
    </row>
    <row r="22" spans="1:10" x14ac:dyDescent="0.15">
      <c r="A22">
        <f t="shared" si="0"/>
        <v>20229553</v>
      </c>
      <c r="B22" t="str">
        <f t="shared" si="1"/>
        <v>T-20</v>
      </c>
      <c r="C22" s="32">
        <v>45049</v>
      </c>
      <c r="D22" s="25">
        <v>77</v>
      </c>
      <c r="E22" t="str" cm="1">
        <f t="array" ref="E22">insertinto(A22:D22,$F$2:$G$5,"pr_Assignments_Results")</f>
        <v>insert into pr_Assignments_Results values ('20229553', 'T-20', '03-May-2023', 77);</v>
      </c>
      <c r="H22">
        <v>20</v>
      </c>
      <c r="J22" t="str">
        <f xml:space="preserve"> VLOOKUP(Assignments_Tests!A22,Assignments_Tests!A:F,1,0)</f>
        <v>T-20</v>
      </c>
    </row>
    <row r="23" spans="1:10" x14ac:dyDescent="0.15">
      <c r="A23">
        <f t="shared" si="0"/>
        <v>20229553</v>
      </c>
      <c r="B23" t="str">
        <f t="shared" si="1"/>
        <v>T-21</v>
      </c>
      <c r="C23" s="32">
        <v>45058</v>
      </c>
      <c r="D23" s="25">
        <v>99</v>
      </c>
      <c r="E23" t="str" cm="1">
        <f t="array" ref="E23">insertinto(A23:D23,$F$2:$G$5,"pr_Assignments_Results")</f>
        <v>insert into pr_Assignments_Results values ('20229553', 'T-21', '12-May-2023', 99);</v>
      </c>
      <c r="H23">
        <v>21</v>
      </c>
      <c r="J23" t="str">
        <f xml:space="preserve"> VLOOKUP(Assignments_Tests!A23,Assignments_Tests!A:F,1,0)</f>
        <v>T-21</v>
      </c>
    </row>
    <row r="24" spans="1:10" x14ac:dyDescent="0.15">
      <c r="A24">
        <f t="shared" si="0"/>
        <v>20229553</v>
      </c>
      <c r="B24" t="str">
        <f t="shared" si="1"/>
        <v>T-22</v>
      </c>
      <c r="C24" s="32">
        <v>45072</v>
      </c>
      <c r="D24" s="25">
        <v>95</v>
      </c>
      <c r="E24" t="str" cm="1">
        <f t="array" ref="E24">insertinto(A24:D24,$F$2:$G$5,"pr_Assignments_Results")</f>
        <v>insert into pr_Assignments_Results values ('20229553', 'T-22', '26-May-2023', 95);</v>
      </c>
      <c r="H24">
        <v>22</v>
      </c>
      <c r="J24" t="str">
        <f xml:space="preserve"> VLOOKUP(Assignments_Tests!A24,Assignments_Tests!A:F,1,0)</f>
        <v>T-22</v>
      </c>
    </row>
    <row r="25" spans="1:10" x14ac:dyDescent="0.15">
      <c r="A25">
        <f t="shared" si="0"/>
        <v>20229553</v>
      </c>
      <c r="B25" t="str">
        <f t="shared" si="1"/>
        <v>T-23</v>
      </c>
      <c r="C25" s="32">
        <v>45258</v>
      </c>
      <c r="D25" s="25">
        <v>76</v>
      </c>
      <c r="E25" t="str" cm="1">
        <f t="array" ref="E25">insertinto(A25:D25,$F$2:$G$5,"pr_Assignments_Results")</f>
        <v>insert into pr_Assignments_Results values ('20229553', 'T-23', '28-Nov-2023', 76);</v>
      </c>
      <c r="H25">
        <v>23</v>
      </c>
      <c r="J25" t="str">
        <f xml:space="preserve"> VLOOKUP(Assignments_Tests!A25,Assignments_Tests!A:F,1,0)</f>
        <v>T-23</v>
      </c>
    </row>
    <row r="26" spans="1:10" x14ac:dyDescent="0.15">
      <c r="A26">
        <f t="shared" si="0"/>
        <v>20229553</v>
      </c>
      <c r="B26" t="str">
        <f t="shared" si="1"/>
        <v>T-24</v>
      </c>
      <c r="C26" s="32">
        <v>45225</v>
      </c>
      <c r="D26" s="25">
        <v>70</v>
      </c>
      <c r="E26" t="str" cm="1">
        <f t="array" ref="E26">insertinto(A26:D26,$F$2:$G$5,"pr_Assignments_Results")</f>
        <v>insert into pr_Assignments_Results values ('20229553', 'T-24', '26-Oct-2023', 70);</v>
      </c>
      <c r="H26">
        <v>24</v>
      </c>
      <c r="J26" t="str">
        <f xml:space="preserve"> VLOOKUP(Assignments_Tests!A26,Assignments_Tests!A:F,1,0)</f>
        <v>T-24</v>
      </c>
    </row>
    <row r="27" spans="1:10" x14ac:dyDescent="0.15">
      <c r="A27">
        <f t="shared" si="0"/>
        <v>20229553</v>
      </c>
      <c r="B27" t="str">
        <f t="shared" si="1"/>
        <v>T-25</v>
      </c>
      <c r="C27" s="32">
        <v>44887</v>
      </c>
      <c r="D27" s="25">
        <v>70</v>
      </c>
      <c r="E27" t="str" cm="1">
        <f t="array" ref="E27">insertinto(A27:D27,$F$2:$G$5,"pr_Assignments_Results")</f>
        <v>insert into pr_Assignments_Results values ('20229553', 'T-25', '22-Nov-2022', 70);</v>
      </c>
      <c r="H27">
        <v>25</v>
      </c>
      <c r="J27" t="str">
        <f xml:space="preserve"> VLOOKUP(Assignments_Tests!A27,Assignments_Tests!A:F,1,0)</f>
        <v>T-25</v>
      </c>
    </row>
    <row r="28" spans="1:10" x14ac:dyDescent="0.15">
      <c r="A28">
        <f t="shared" si="0"/>
        <v>20229553</v>
      </c>
      <c r="B28" t="str">
        <f t="shared" si="1"/>
        <v>T-26</v>
      </c>
      <c r="C28" s="32">
        <v>45211</v>
      </c>
      <c r="D28" s="25">
        <v>88</v>
      </c>
      <c r="E28" t="str" cm="1">
        <f t="array" ref="E28">insertinto(A28:D28,$F$2:$G$5,"pr_Assignments_Results")</f>
        <v>insert into pr_Assignments_Results values ('20229553', 'T-26', '12-Oct-2023', 88);</v>
      </c>
      <c r="H28">
        <v>26</v>
      </c>
      <c r="J28" t="str">
        <f xml:space="preserve"> VLOOKUP(Assignments_Tests!A28,Assignments_Tests!A:F,1,0)</f>
        <v>T-26</v>
      </c>
    </row>
    <row r="29" spans="1:10" x14ac:dyDescent="0.15">
      <c r="A29">
        <f t="shared" si="0"/>
        <v>20229553</v>
      </c>
      <c r="B29" t="str">
        <f t="shared" si="1"/>
        <v>T-27</v>
      </c>
      <c r="C29" s="32">
        <v>45230</v>
      </c>
      <c r="D29" s="25">
        <v>96</v>
      </c>
      <c r="E29" t="str" cm="1">
        <f t="array" ref="E29">insertinto(A29:D29,$F$2:$G$5,"pr_Assignments_Results")</f>
        <v>insert into pr_Assignments_Results values ('20229553', 'T-27', '31-Oct-2023', 96);</v>
      </c>
      <c r="H29">
        <v>27</v>
      </c>
      <c r="J29" t="str">
        <f xml:space="preserve"> VLOOKUP(Assignments_Tests!A29,Assignments_Tests!A:F,1,0)</f>
        <v>T-27</v>
      </c>
    </row>
    <row r="30" spans="1:10" x14ac:dyDescent="0.15">
      <c r="A30">
        <f t="shared" si="0"/>
        <v>20229553</v>
      </c>
      <c r="B30" t="str">
        <f t="shared" si="1"/>
        <v>T-28</v>
      </c>
      <c r="C30" s="32">
        <v>45261</v>
      </c>
      <c r="D30" s="25">
        <v>84</v>
      </c>
      <c r="E30" t="str" cm="1">
        <f t="array" ref="E30">insertinto(A30:D30,$F$2:$G$5,"pr_Assignments_Results")</f>
        <v>insert into pr_Assignments_Results values ('20229553', 'T-28', '01-Dec-2023', 84);</v>
      </c>
      <c r="H30">
        <v>28</v>
      </c>
      <c r="J30" t="str">
        <f xml:space="preserve"> VLOOKUP(Assignments_Tests!A30,Assignments_Tests!A:F,1,0)</f>
        <v>T-28</v>
      </c>
    </row>
    <row r="31" spans="1:10" x14ac:dyDescent="0.15">
      <c r="A31">
        <f t="shared" si="0"/>
        <v>20229553</v>
      </c>
      <c r="B31" t="str">
        <f t="shared" si="1"/>
        <v>T-29</v>
      </c>
      <c r="C31" s="32">
        <v>44950</v>
      </c>
      <c r="D31" s="25">
        <v>81</v>
      </c>
      <c r="E31" t="str" cm="1">
        <f t="array" ref="E31">insertinto(A31:D31,$F$2:$G$5,"pr_Assignments_Results")</f>
        <v>insert into pr_Assignments_Results values ('20229553', 'T-29', '24-Jan-2023', 81);</v>
      </c>
      <c r="H31">
        <v>29</v>
      </c>
      <c r="J31" t="str">
        <f xml:space="preserve"> VLOOKUP(Assignments_Tests!A31,Assignments_Tests!A:F,1,0)</f>
        <v>T-29</v>
      </c>
    </row>
    <row r="32" spans="1:10" x14ac:dyDescent="0.15">
      <c r="A32">
        <f t="shared" si="0"/>
        <v>20229553</v>
      </c>
      <c r="B32" t="str">
        <f t="shared" si="1"/>
        <v>T-30</v>
      </c>
      <c r="C32" s="32">
        <v>45215</v>
      </c>
      <c r="D32" s="25">
        <v>95</v>
      </c>
      <c r="E32" t="str" cm="1">
        <f t="array" ref="E32">insertinto(A32:D32,$F$2:$G$5,"pr_Assignments_Results")</f>
        <v>insert into pr_Assignments_Results values ('20229553', 'T-30', '16-Oct-2023', 95);</v>
      </c>
      <c r="H32">
        <v>30</v>
      </c>
      <c r="J32" t="str">
        <f xml:space="preserve"> VLOOKUP(Assignments_Tests!A32,Assignments_Tests!A:F,1,0)</f>
        <v>T-30</v>
      </c>
    </row>
    <row r="33" spans="1:10" x14ac:dyDescent="0.15">
      <c r="A33">
        <f t="shared" si="0"/>
        <v>20229553</v>
      </c>
      <c r="B33" t="str">
        <f t="shared" si="1"/>
        <v>T-31</v>
      </c>
      <c r="C33" s="32">
        <v>45231</v>
      </c>
      <c r="D33" s="25">
        <v>97</v>
      </c>
      <c r="E33" t="str" cm="1">
        <f t="array" ref="E33">insertinto(A33:D33,$F$2:$G$5,"pr_Assignments_Results")</f>
        <v>insert into pr_Assignments_Results values ('20229553', 'T-31', '01-Nov-2023', 97);</v>
      </c>
      <c r="H33">
        <v>31</v>
      </c>
      <c r="J33" t="str">
        <f xml:space="preserve"> VLOOKUP(Assignments_Tests!A33,Assignments_Tests!A:F,1,0)</f>
        <v>T-31</v>
      </c>
    </row>
    <row r="34" spans="1:10" x14ac:dyDescent="0.15">
      <c r="A34">
        <f t="shared" si="0"/>
        <v>20229553</v>
      </c>
      <c r="B34" t="str">
        <f t="shared" si="1"/>
        <v>T-32</v>
      </c>
      <c r="C34" s="32">
        <v>45242</v>
      </c>
      <c r="D34" s="25">
        <v>81</v>
      </c>
      <c r="E34" t="str" cm="1">
        <f t="array" ref="E34">insertinto(A34:D34,$F$2:$G$5,"pr_Assignments_Results")</f>
        <v>insert into pr_Assignments_Results values ('20229553', 'T-32', '12-Nov-2023', 81);</v>
      </c>
      <c r="H34">
        <v>32</v>
      </c>
      <c r="J34" t="str">
        <f xml:space="preserve"> VLOOKUP(Assignments_Tests!A34,Assignments_Tests!A:F,1,0)</f>
        <v>T-32</v>
      </c>
    </row>
    <row r="35" spans="1:10" x14ac:dyDescent="0.15">
      <c r="A35">
        <f t="shared" si="0"/>
        <v>20229553</v>
      </c>
      <c r="B35" t="str">
        <f t="shared" si="1"/>
        <v>T-33</v>
      </c>
      <c r="C35" s="32">
        <v>45260</v>
      </c>
      <c r="D35" s="25">
        <v>79</v>
      </c>
      <c r="E35" t="str" cm="1">
        <f t="array" ref="E35">insertinto(A35:D35,$F$2:$G$5,"pr_Assignments_Results")</f>
        <v>insert into pr_Assignments_Results values ('20229553', 'T-33', '30-Nov-2023', 79);</v>
      </c>
      <c r="H35">
        <v>33</v>
      </c>
      <c r="J35" t="str">
        <f xml:space="preserve"> VLOOKUP(Assignments_Tests!A35,Assignments_Tests!A:F,1,0)</f>
        <v>T-33</v>
      </c>
    </row>
    <row r="36" spans="1:10" x14ac:dyDescent="0.15">
      <c r="A36">
        <f t="shared" si="0"/>
        <v>20221414</v>
      </c>
      <c r="B36" t="str">
        <f t="shared" si="1"/>
        <v>T-00</v>
      </c>
      <c r="C36" s="32">
        <v>44842</v>
      </c>
      <c r="D36" s="25">
        <v>82</v>
      </c>
      <c r="E36" t="str" cm="1">
        <f t="array" ref="E36">insertinto(A36:D36,$F$2:$G$5,"pr_Assignments_Results")</f>
        <v>insert into pr_Assignments_Results values ('20221414', 'T-00', '08-Oct-2022', 82);</v>
      </c>
      <c r="H36">
        <v>34</v>
      </c>
    </row>
    <row r="37" spans="1:10" x14ac:dyDescent="0.15">
      <c r="A37">
        <f t="shared" si="0"/>
        <v>20221414</v>
      </c>
      <c r="B37" t="str">
        <f t="shared" si="1"/>
        <v>T-01</v>
      </c>
      <c r="C37" s="32">
        <v>44851</v>
      </c>
      <c r="D37" s="25">
        <v>76</v>
      </c>
      <c r="E37" t="str" cm="1">
        <f t="array" ref="E37">insertinto(A37:D37,$F$2:$G$5,"pr_Assignments_Results")</f>
        <v>insert into pr_Assignments_Results values ('20221414', 'T-01', '17-Oct-2022', 76);</v>
      </c>
      <c r="H37">
        <v>35</v>
      </c>
    </row>
    <row r="38" spans="1:10" x14ac:dyDescent="0.15">
      <c r="A38">
        <f t="shared" si="0"/>
        <v>20221414</v>
      </c>
      <c r="B38" t="str">
        <f t="shared" si="1"/>
        <v>T-02</v>
      </c>
      <c r="C38" s="32">
        <v>44877</v>
      </c>
      <c r="D38" s="25">
        <v>71</v>
      </c>
      <c r="E38" t="str" cm="1">
        <f t="array" ref="E38">insertinto(A38:D38,$F$2:$G$5,"pr_Assignments_Results")</f>
        <v>insert into pr_Assignments_Results values ('20221414', 'T-02', '12-Nov-2022', 71);</v>
      </c>
      <c r="H38">
        <v>36</v>
      </c>
    </row>
    <row r="39" spans="1:10" x14ac:dyDescent="0.15">
      <c r="A39">
        <f t="shared" si="0"/>
        <v>20221414</v>
      </c>
      <c r="B39" t="str">
        <f t="shared" si="1"/>
        <v>T-03</v>
      </c>
      <c r="C39" s="32">
        <v>44880</v>
      </c>
      <c r="D39" s="25">
        <v>70</v>
      </c>
      <c r="E39" t="str" cm="1">
        <f t="array" ref="E39">insertinto(A39:D39,$F$2:$G$5,"pr_Assignments_Results")</f>
        <v>insert into pr_Assignments_Results values ('20221414', 'T-03', '15-Nov-2022', 70);</v>
      </c>
      <c r="H39">
        <v>37</v>
      </c>
    </row>
    <row r="40" spans="1:10" x14ac:dyDescent="0.15">
      <c r="A40">
        <f t="shared" si="0"/>
        <v>20221414</v>
      </c>
      <c r="B40" t="str">
        <f t="shared" si="1"/>
        <v>T-04</v>
      </c>
      <c r="C40" s="32">
        <v>44853</v>
      </c>
      <c r="D40" s="25">
        <v>92</v>
      </c>
      <c r="E40" t="str" cm="1">
        <f t="array" ref="E40">insertinto(A40:D40,$F$2:$G$5,"pr_Assignments_Results")</f>
        <v>insert into pr_Assignments_Results values ('20221414', 'T-04', '19-Oct-2022', 92);</v>
      </c>
      <c r="H40">
        <v>38</v>
      </c>
    </row>
    <row r="41" spans="1:10" x14ac:dyDescent="0.15">
      <c r="A41">
        <f t="shared" si="0"/>
        <v>20221414</v>
      </c>
      <c r="B41" t="str">
        <f t="shared" si="1"/>
        <v>T-05</v>
      </c>
      <c r="C41" s="32">
        <v>44840</v>
      </c>
      <c r="D41" s="25">
        <v>89</v>
      </c>
      <c r="E41" t="str" cm="1">
        <f t="array" ref="E41">insertinto(A41:D41,$F$2:$G$5,"pr_Assignments_Results")</f>
        <v>insert into pr_Assignments_Results values ('20221414', 'T-05', '06-Oct-2022', 89);</v>
      </c>
      <c r="H41">
        <v>39</v>
      </c>
    </row>
    <row r="42" spans="1:10" x14ac:dyDescent="0.15">
      <c r="A42">
        <f t="shared" si="0"/>
        <v>20221414</v>
      </c>
      <c r="B42" t="str">
        <f t="shared" si="1"/>
        <v>T-06</v>
      </c>
      <c r="C42" s="32">
        <v>44888</v>
      </c>
      <c r="D42" s="25">
        <v>74</v>
      </c>
      <c r="E42" t="str" cm="1">
        <f t="array" ref="E42">insertinto(A42:D42,$F$2:$G$5,"pr_Assignments_Results")</f>
        <v>insert into pr_Assignments_Results values ('20221414', 'T-06', '23-Nov-2022', 74);</v>
      </c>
      <c r="H42">
        <v>40</v>
      </c>
    </row>
    <row r="43" spans="1:10" x14ac:dyDescent="0.15">
      <c r="A43">
        <f t="shared" si="0"/>
        <v>20221414</v>
      </c>
      <c r="B43" t="str">
        <f t="shared" si="1"/>
        <v>T-07</v>
      </c>
      <c r="C43" s="32">
        <v>44842</v>
      </c>
      <c r="D43" s="25">
        <v>70</v>
      </c>
      <c r="E43" t="str" cm="1">
        <f t="array" ref="E43">insertinto(A43:D43,$F$2:$G$5,"pr_Assignments_Results")</f>
        <v>insert into pr_Assignments_Results values ('20221414', 'T-07', '08-Oct-2022', 70);</v>
      </c>
      <c r="H43">
        <v>41</v>
      </c>
    </row>
    <row r="44" spans="1:10" x14ac:dyDescent="0.15">
      <c r="A44">
        <f t="shared" si="0"/>
        <v>20221414</v>
      </c>
      <c r="B44" t="str">
        <f t="shared" si="1"/>
        <v>T-08</v>
      </c>
      <c r="C44" s="32">
        <v>44855</v>
      </c>
      <c r="D44" s="25">
        <v>92</v>
      </c>
      <c r="E44" t="str" cm="1">
        <f t="array" ref="E44">insertinto(A44:D44,$F$2:$G$5,"pr_Assignments_Results")</f>
        <v>insert into pr_Assignments_Results values ('20221414', 'T-08', '21-Oct-2022', 92);</v>
      </c>
      <c r="H44">
        <v>42</v>
      </c>
    </row>
    <row r="45" spans="1:10" x14ac:dyDescent="0.15">
      <c r="A45">
        <f t="shared" si="0"/>
        <v>20221414</v>
      </c>
      <c r="B45" t="str">
        <f t="shared" si="1"/>
        <v>T-09</v>
      </c>
      <c r="C45" s="32">
        <v>44879</v>
      </c>
      <c r="D45" s="25">
        <v>88</v>
      </c>
      <c r="E45" t="str" cm="1">
        <f t="array" ref="E45">insertinto(A45:D45,$F$2:$G$5,"pr_Assignments_Results")</f>
        <v>insert into pr_Assignments_Results values ('20221414', 'T-09', '14-Nov-2022', 88);</v>
      </c>
      <c r="H45">
        <v>43</v>
      </c>
    </row>
    <row r="46" spans="1:10" x14ac:dyDescent="0.15">
      <c r="A46">
        <f t="shared" si="0"/>
        <v>20221414</v>
      </c>
      <c r="B46" t="str">
        <f t="shared" si="1"/>
        <v>T-10</v>
      </c>
      <c r="C46" s="32">
        <v>44895</v>
      </c>
      <c r="D46" s="25">
        <v>75</v>
      </c>
      <c r="E46" t="str" cm="1">
        <f t="array" ref="E46">insertinto(A46:D46,$F$2:$G$5,"pr_Assignments_Results")</f>
        <v>insert into pr_Assignments_Results values ('20221414', 'T-10', '30-Nov-2022', 75);</v>
      </c>
      <c r="H46">
        <v>44</v>
      </c>
    </row>
    <row r="47" spans="1:10" x14ac:dyDescent="0.15">
      <c r="A47">
        <f t="shared" si="0"/>
        <v>20221414</v>
      </c>
      <c r="B47" t="str">
        <f t="shared" si="1"/>
        <v>T-11</v>
      </c>
      <c r="C47" s="32">
        <v>44956</v>
      </c>
      <c r="D47" s="25">
        <v>99</v>
      </c>
      <c r="E47" t="str" cm="1">
        <f t="array" ref="E47">insertinto(A47:D47,$F$2:$G$5,"pr_Assignments_Results")</f>
        <v>insert into pr_Assignments_Results values ('20221414', 'T-11', '30-Jan-2023', 99);</v>
      </c>
      <c r="H47">
        <v>45</v>
      </c>
    </row>
    <row r="48" spans="1:10" x14ac:dyDescent="0.15">
      <c r="A48">
        <f t="shared" si="0"/>
        <v>20221414</v>
      </c>
      <c r="B48" t="str">
        <f t="shared" si="1"/>
        <v>T-12</v>
      </c>
      <c r="C48" s="32">
        <v>45009</v>
      </c>
      <c r="D48" s="25">
        <v>92</v>
      </c>
      <c r="E48" t="str" cm="1">
        <f t="array" ref="E48">insertinto(A48:D48,$F$2:$G$5,"pr_Assignments_Results")</f>
        <v>insert into pr_Assignments_Results values ('20221414', 'T-12', '24-Mar-2023', 92);</v>
      </c>
      <c r="H48">
        <v>46</v>
      </c>
    </row>
    <row r="49" spans="1:8" x14ac:dyDescent="0.15">
      <c r="A49">
        <f t="shared" si="0"/>
        <v>20221414</v>
      </c>
      <c r="B49" t="str">
        <f t="shared" si="1"/>
        <v>T-13</v>
      </c>
      <c r="C49" s="32">
        <v>44986</v>
      </c>
      <c r="D49" s="25">
        <v>100</v>
      </c>
      <c r="E49" t="str" cm="1">
        <f t="array" ref="E49">insertinto(A49:D49,$F$2:$G$5,"pr_Assignments_Results")</f>
        <v>insert into pr_Assignments_Results values ('20221414', 'T-13', '01-Mar-2023', 100);</v>
      </c>
      <c r="H49">
        <v>47</v>
      </c>
    </row>
    <row r="50" spans="1:8" x14ac:dyDescent="0.15">
      <c r="A50">
        <f t="shared" si="0"/>
        <v>20221414</v>
      </c>
      <c r="B50" t="str">
        <f t="shared" si="1"/>
        <v>T-14</v>
      </c>
      <c r="C50" s="32">
        <v>44997</v>
      </c>
      <c r="D50" s="25">
        <v>100</v>
      </c>
      <c r="E50" t="str" cm="1">
        <f t="array" ref="E50">insertinto(A50:D50,$F$2:$G$5,"pr_Assignments_Results")</f>
        <v>insert into pr_Assignments_Results values ('20221414', 'T-14', '12-Mar-2023', 100);</v>
      </c>
      <c r="H50">
        <v>48</v>
      </c>
    </row>
    <row r="51" spans="1:8" x14ac:dyDescent="0.15">
      <c r="A51">
        <f t="shared" si="0"/>
        <v>20221414</v>
      </c>
      <c r="B51" t="str">
        <f t="shared" si="1"/>
        <v>T-15</v>
      </c>
      <c r="C51" s="32">
        <v>44958</v>
      </c>
      <c r="D51" s="25">
        <v>75</v>
      </c>
      <c r="E51" t="str" cm="1">
        <f t="array" ref="E51">insertinto(A51:D51,$F$2:$G$5,"pr_Assignments_Results")</f>
        <v>insert into pr_Assignments_Results values ('20221414', 'T-15', '01-Feb-2023', 75);</v>
      </c>
      <c r="H51">
        <v>49</v>
      </c>
    </row>
    <row r="52" spans="1:8" x14ac:dyDescent="0.15">
      <c r="A52">
        <f t="shared" si="0"/>
        <v>20221414</v>
      </c>
      <c r="B52" t="str">
        <f t="shared" si="1"/>
        <v>T-16</v>
      </c>
      <c r="C52" s="32">
        <v>44974</v>
      </c>
      <c r="D52" s="25">
        <v>100</v>
      </c>
      <c r="E52" t="str" cm="1">
        <f t="array" ref="E52">insertinto(A52:D52,$F$2:$G$5,"pr_Assignments_Results")</f>
        <v>insert into pr_Assignments_Results values ('20221414', 'T-16', '17-Feb-2023', 100);</v>
      </c>
      <c r="H52">
        <v>50</v>
      </c>
    </row>
    <row r="53" spans="1:8" x14ac:dyDescent="0.15">
      <c r="A53">
        <f t="shared" si="0"/>
        <v>20221414</v>
      </c>
      <c r="B53" t="str">
        <f t="shared" si="1"/>
        <v>T-17</v>
      </c>
      <c r="C53" s="32">
        <v>44983</v>
      </c>
      <c r="D53" s="25">
        <v>99</v>
      </c>
      <c r="E53" t="str" cm="1">
        <f t="array" ref="E53">insertinto(A53:D53,$F$2:$G$5,"pr_Assignments_Results")</f>
        <v>insert into pr_Assignments_Results values ('20221414', 'T-17', '26-Feb-2023', 99);</v>
      </c>
      <c r="H53">
        <v>51</v>
      </c>
    </row>
    <row r="54" spans="1:8" x14ac:dyDescent="0.15">
      <c r="A54">
        <f t="shared" si="0"/>
        <v>20221414</v>
      </c>
      <c r="B54" t="str">
        <f t="shared" si="1"/>
        <v>T-18</v>
      </c>
      <c r="C54" s="32">
        <v>44961</v>
      </c>
      <c r="D54" s="25">
        <v>79</v>
      </c>
      <c r="E54" t="str" cm="1">
        <f t="array" ref="E54">insertinto(A54:D54,$F$2:$G$5,"pr_Assignments_Results")</f>
        <v>insert into pr_Assignments_Results values ('20221414', 'T-18', '04-Feb-2023', 79);</v>
      </c>
      <c r="H54">
        <v>52</v>
      </c>
    </row>
    <row r="55" spans="1:8" x14ac:dyDescent="0.15">
      <c r="A55">
        <f t="shared" si="0"/>
        <v>20221414</v>
      </c>
      <c r="B55" t="str">
        <f t="shared" si="1"/>
        <v>T-19</v>
      </c>
      <c r="C55" s="32">
        <v>45048</v>
      </c>
      <c r="D55" s="25">
        <v>89</v>
      </c>
      <c r="E55" t="str" cm="1">
        <f t="array" ref="E55">insertinto(A55:D55,$F$2:$G$5,"pr_Assignments_Results")</f>
        <v>insert into pr_Assignments_Results values ('20221414', 'T-19', '02-May-2023', 89);</v>
      </c>
      <c r="H55">
        <v>53</v>
      </c>
    </row>
    <row r="56" spans="1:8" x14ac:dyDescent="0.15">
      <c r="A56">
        <f t="shared" si="0"/>
        <v>20221414</v>
      </c>
      <c r="B56" t="str">
        <f t="shared" si="1"/>
        <v>T-20</v>
      </c>
      <c r="C56" s="32">
        <v>45055</v>
      </c>
      <c r="D56" s="25">
        <v>71</v>
      </c>
      <c r="E56" t="str" cm="1">
        <f t="array" ref="E56">insertinto(A56:D56,$F$2:$G$5,"pr_Assignments_Results")</f>
        <v>insert into pr_Assignments_Results values ('20221414', 'T-20', '09-May-2023', 71);</v>
      </c>
      <c r="H56">
        <v>54</v>
      </c>
    </row>
    <row r="57" spans="1:8" x14ac:dyDescent="0.15">
      <c r="A57">
        <f t="shared" si="0"/>
        <v>20221414</v>
      </c>
      <c r="B57" t="str">
        <f t="shared" si="1"/>
        <v>T-21</v>
      </c>
      <c r="C57" s="32">
        <v>45064</v>
      </c>
      <c r="D57" s="25">
        <v>79</v>
      </c>
      <c r="E57" t="str" cm="1">
        <f t="array" ref="E57">insertinto(A57:D57,$F$2:$G$5,"pr_Assignments_Results")</f>
        <v>insert into pr_Assignments_Results values ('20221414', 'T-21', '18-May-2023', 79);</v>
      </c>
      <c r="H57">
        <v>55</v>
      </c>
    </row>
    <row r="58" spans="1:8" x14ac:dyDescent="0.15">
      <c r="A58">
        <f t="shared" si="0"/>
        <v>20221414</v>
      </c>
      <c r="B58" t="str">
        <f t="shared" si="1"/>
        <v>T-22</v>
      </c>
      <c r="C58" s="32">
        <v>45073</v>
      </c>
      <c r="D58" s="25">
        <v>95</v>
      </c>
      <c r="E58" t="str" cm="1">
        <f t="array" ref="E58">insertinto(A58:D58,$F$2:$G$5,"pr_Assignments_Results")</f>
        <v>insert into pr_Assignments_Results values ('20221414', 'T-22', '27-May-2023', 95);</v>
      </c>
      <c r="H58">
        <v>56</v>
      </c>
    </row>
    <row r="59" spans="1:8" x14ac:dyDescent="0.15">
      <c r="A59">
        <f t="shared" si="0"/>
        <v>20221414</v>
      </c>
      <c r="B59" t="str">
        <f t="shared" si="1"/>
        <v>T-23</v>
      </c>
      <c r="C59" s="32">
        <v>45204</v>
      </c>
      <c r="D59" s="25">
        <v>99</v>
      </c>
      <c r="E59" t="str" cm="1">
        <f t="array" ref="E59">insertinto(A59:D59,$F$2:$G$5,"pr_Assignments_Results")</f>
        <v>insert into pr_Assignments_Results values ('20221414', 'T-23', '05-Oct-2023', 99);</v>
      </c>
      <c r="H59">
        <v>57</v>
      </c>
    </row>
    <row r="60" spans="1:8" x14ac:dyDescent="0.15">
      <c r="A60">
        <f t="shared" si="0"/>
        <v>20221414</v>
      </c>
      <c r="B60" t="str">
        <f t="shared" si="1"/>
        <v>T-24</v>
      </c>
      <c r="C60" s="32">
        <v>45284</v>
      </c>
      <c r="D60" s="25">
        <v>85</v>
      </c>
      <c r="E60" t="str" cm="1">
        <f t="array" ref="E60">insertinto(A60:D60,$F$2:$G$5,"pr_Assignments_Results")</f>
        <v>insert into pr_Assignments_Results values ('20221414', 'T-24', '24-Dec-2023', 85);</v>
      </c>
      <c r="H60">
        <v>58</v>
      </c>
    </row>
    <row r="61" spans="1:8" x14ac:dyDescent="0.15">
      <c r="A61">
        <f t="shared" si="0"/>
        <v>20221414</v>
      </c>
      <c r="B61" t="str">
        <f t="shared" si="1"/>
        <v>T-25</v>
      </c>
      <c r="C61" s="32">
        <v>44886</v>
      </c>
      <c r="D61" s="25">
        <v>71</v>
      </c>
      <c r="E61" t="str" cm="1">
        <f t="array" ref="E61">insertinto(A61:D61,$F$2:$G$5,"pr_Assignments_Results")</f>
        <v>insert into pr_Assignments_Results values ('20221414', 'T-25', '21-Nov-2022', 71);</v>
      </c>
      <c r="H61">
        <v>59</v>
      </c>
    </row>
    <row r="62" spans="1:8" x14ac:dyDescent="0.15">
      <c r="A62">
        <f t="shared" si="0"/>
        <v>20221414</v>
      </c>
      <c r="B62" t="str">
        <f t="shared" si="1"/>
        <v>T-26</v>
      </c>
      <c r="C62" s="32">
        <v>45210</v>
      </c>
      <c r="D62" s="25">
        <v>75</v>
      </c>
      <c r="E62" t="str" cm="1">
        <f t="array" ref="E62">insertinto(A62:D62,$F$2:$G$5,"pr_Assignments_Results")</f>
        <v>insert into pr_Assignments_Results values ('20221414', 'T-26', '11-Oct-2023', 75);</v>
      </c>
      <c r="H62">
        <v>60</v>
      </c>
    </row>
    <row r="63" spans="1:8" x14ac:dyDescent="0.15">
      <c r="A63">
        <f t="shared" si="0"/>
        <v>20221414</v>
      </c>
      <c r="B63" t="str">
        <f t="shared" si="1"/>
        <v>T-27</v>
      </c>
      <c r="C63" s="32">
        <v>45233</v>
      </c>
      <c r="D63" s="25">
        <v>80</v>
      </c>
      <c r="E63" t="str" cm="1">
        <f t="array" ref="E63">insertinto(A63:D63,$F$2:$G$5,"pr_Assignments_Results")</f>
        <v>insert into pr_Assignments_Results values ('20221414', 'T-27', '03-Nov-2023', 80);</v>
      </c>
      <c r="H63">
        <v>61</v>
      </c>
    </row>
    <row r="64" spans="1:8" x14ac:dyDescent="0.15">
      <c r="A64">
        <f t="shared" si="0"/>
        <v>20221414</v>
      </c>
      <c r="B64" t="str">
        <f t="shared" si="1"/>
        <v>T-28</v>
      </c>
      <c r="C64" s="32">
        <v>45263</v>
      </c>
      <c r="D64" s="25">
        <v>92</v>
      </c>
      <c r="E64" t="str" cm="1">
        <f t="array" ref="E64">insertinto(A64:D64,$F$2:$G$5,"pr_Assignments_Results")</f>
        <v>insert into pr_Assignments_Results values ('20221414', 'T-28', '03-Dec-2023', 92);</v>
      </c>
      <c r="H64">
        <v>62</v>
      </c>
    </row>
    <row r="65" spans="1:8" x14ac:dyDescent="0.15">
      <c r="A65">
        <f t="shared" si="0"/>
        <v>20221414</v>
      </c>
      <c r="B65" t="str">
        <f t="shared" si="1"/>
        <v>T-29</v>
      </c>
      <c r="C65" s="32">
        <v>44948</v>
      </c>
      <c r="D65" s="25">
        <v>73</v>
      </c>
      <c r="E65" t="str" cm="1">
        <f t="array" ref="E65">insertinto(A65:D65,$F$2:$G$5,"pr_Assignments_Results")</f>
        <v>insert into pr_Assignments_Results values ('20221414', 'T-29', '22-Jan-2023', 73);</v>
      </c>
      <c r="H65">
        <v>63</v>
      </c>
    </row>
    <row r="66" spans="1:8" x14ac:dyDescent="0.15">
      <c r="A66">
        <f t="shared" ref="A66:A129" si="2">INDEX($I$2:$I$51,INT(H66/34)+1)</f>
        <v>20221414</v>
      </c>
      <c r="B66" t="str">
        <f t="shared" ref="B66:B129" si="3">INDEX($J$2:$J$35,MOD(H66,34)+1)</f>
        <v>T-30</v>
      </c>
      <c r="C66" s="32">
        <v>45210</v>
      </c>
      <c r="D66" s="25">
        <v>78</v>
      </c>
      <c r="E66" t="str" cm="1">
        <f t="array" ref="E66">insertinto(A66:D66,$F$2:$G$5,"pr_Assignments_Results")</f>
        <v>insert into pr_Assignments_Results values ('20221414', 'T-30', '11-Oct-2023', 78);</v>
      </c>
      <c r="H66">
        <v>64</v>
      </c>
    </row>
    <row r="67" spans="1:8" x14ac:dyDescent="0.15">
      <c r="A67">
        <f t="shared" si="2"/>
        <v>20221414</v>
      </c>
      <c r="B67" t="str">
        <f t="shared" si="3"/>
        <v>T-31</v>
      </c>
      <c r="C67" s="32">
        <v>45231</v>
      </c>
      <c r="D67" s="25">
        <v>71</v>
      </c>
      <c r="E67" t="str" cm="1">
        <f t="array" ref="E67">insertinto(A67:D67,$F$2:$G$5,"pr_Assignments_Results")</f>
        <v>insert into pr_Assignments_Results values ('20221414', 'T-31', '01-Nov-2023', 71);</v>
      </c>
      <c r="H67">
        <v>65</v>
      </c>
    </row>
    <row r="68" spans="1:8" x14ac:dyDescent="0.15">
      <c r="A68">
        <f t="shared" si="2"/>
        <v>20221414</v>
      </c>
      <c r="B68" t="str">
        <f t="shared" si="3"/>
        <v>T-32</v>
      </c>
      <c r="C68" s="32">
        <v>45247</v>
      </c>
      <c r="D68" s="25">
        <v>70</v>
      </c>
      <c r="E68" t="str" cm="1">
        <f t="array" ref="E68">insertinto(A68:D68,$F$2:$G$5,"pr_Assignments_Results")</f>
        <v>insert into pr_Assignments_Results values ('20221414', 'T-32', '17-Nov-2023', 70);</v>
      </c>
      <c r="H68">
        <v>66</v>
      </c>
    </row>
    <row r="69" spans="1:8" x14ac:dyDescent="0.15">
      <c r="A69">
        <f t="shared" si="2"/>
        <v>20221414</v>
      </c>
      <c r="B69" t="str">
        <f t="shared" si="3"/>
        <v>T-33</v>
      </c>
      <c r="C69" s="32">
        <v>45262</v>
      </c>
      <c r="D69" s="25">
        <v>74</v>
      </c>
      <c r="E69" t="str" cm="1">
        <f t="array" ref="E69">insertinto(A69:D69,$F$2:$G$5,"pr_Assignments_Results")</f>
        <v>insert into pr_Assignments_Results values ('20221414', 'T-33', '02-Dec-2023', 74);</v>
      </c>
      <c r="H69">
        <v>67</v>
      </c>
    </row>
    <row r="70" spans="1:8" x14ac:dyDescent="0.15">
      <c r="A70">
        <f t="shared" si="2"/>
        <v>20224306</v>
      </c>
      <c r="B70" t="str">
        <f t="shared" si="3"/>
        <v>T-00</v>
      </c>
      <c r="C70" s="32">
        <v>44843</v>
      </c>
      <c r="D70" s="25">
        <v>80</v>
      </c>
      <c r="E70" t="str" cm="1">
        <f t="array" ref="E70">insertinto(A70:D70,$F$2:$G$5,"pr_Assignments_Results")</f>
        <v>insert into pr_Assignments_Results values ('20224306', 'T-00', '09-Oct-2022', 80);</v>
      </c>
      <c r="H70">
        <v>68</v>
      </c>
    </row>
    <row r="71" spans="1:8" x14ac:dyDescent="0.15">
      <c r="A71">
        <f t="shared" si="2"/>
        <v>20224306</v>
      </c>
      <c r="B71" t="str">
        <f t="shared" si="3"/>
        <v>T-01</v>
      </c>
      <c r="C71" s="32">
        <v>44851</v>
      </c>
      <c r="D71" s="25">
        <v>90</v>
      </c>
      <c r="E71" t="str" cm="1">
        <f t="array" ref="E71">insertinto(A71:D71,$F$2:$G$5,"pr_Assignments_Results")</f>
        <v>insert into pr_Assignments_Results values ('20224306', 'T-01', '17-Oct-2022', 90);</v>
      </c>
      <c r="H71">
        <v>69</v>
      </c>
    </row>
    <row r="72" spans="1:8" x14ac:dyDescent="0.15">
      <c r="A72">
        <f t="shared" si="2"/>
        <v>20224306</v>
      </c>
      <c r="B72" t="str">
        <f t="shared" si="3"/>
        <v>T-02</v>
      </c>
      <c r="C72" s="32">
        <v>44878</v>
      </c>
      <c r="D72" s="25">
        <v>84</v>
      </c>
      <c r="E72" t="str" cm="1">
        <f t="array" ref="E72">insertinto(A72:D72,$F$2:$G$5,"pr_Assignments_Results")</f>
        <v>insert into pr_Assignments_Results values ('20224306', 'T-02', '13-Nov-2022', 84);</v>
      </c>
      <c r="H72">
        <v>70</v>
      </c>
    </row>
    <row r="73" spans="1:8" x14ac:dyDescent="0.15">
      <c r="A73">
        <f t="shared" si="2"/>
        <v>20224306</v>
      </c>
      <c r="B73" t="str">
        <f t="shared" si="3"/>
        <v>T-03</v>
      </c>
      <c r="C73" s="32">
        <v>44885</v>
      </c>
      <c r="D73" s="25">
        <v>89</v>
      </c>
      <c r="E73" t="str" cm="1">
        <f t="array" ref="E73">insertinto(A73:D73,$F$2:$G$5,"pr_Assignments_Results")</f>
        <v>insert into pr_Assignments_Results values ('20224306', 'T-03', '20-Nov-2022', 89);</v>
      </c>
      <c r="H73">
        <v>71</v>
      </c>
    </row>
    <row r="74" spans="1:8" x14ac:dyDescent="0.15">
      <c r="A74">
        <f t="shared" si="2"/>
        <v>20224306</v>
      </c>
      <c r="B74" t="str">
        <f t="shared" si="3"/>
        <v>T-04</v>
      </c>
      <c r="C74" s="32">
        <v>44852</v>
      </c>
      <c r="D74" s="25">
        <v>82</v>
      </c>
      <c r="E74" t="str" cm="1">
        <f t="array" ref="E74">insertinto(A74:D74,$F$2:$G$5,"pr_Assignments_Results")</f>
        <v>insert into pr_Assignments_Results values ('20224306', 'T-04', '18-Oct-2022', 82);</v>
      </c>
      <c r="H74">
        <v>72</v>
      </c>
    </row>
    <row r="75" spans="1:8" x14ac:dyDescent="0.15">
      <c r="A75">
        <f t="shared" si="2"/>
        <v>20224306</v>
      </c>
      <c r="B75" t="str">
        <f t="shared" si="3"/>
        <v>T-05</v>
      </c>
      <c r="C75" s="32">
        <v>44837</v>
      </c>
      <c r="D75" s="25">
        <v>84</v>
      </c>
      <c r="E75" t="str" cm="1">
        <f t="array" ref="E75">insertinto(A75:D75,$F$2:$G$5,"pr_Assignments_Results")</f>
        <v>insert into pr_Assignments_Results values ('20224306', 'T-05', '03-Oct-2022', 84);</v>
      </c>
      <c r="H75">
        <v>73</v>
      </c>
    </row>
    <row r="76" spans="1:8" x14ac:dyDescent="0.15">
      <c r="A76">
        <f t="shared" si="2"/>
        <v>20224306</v>
      </c>
      <c r="B76" t="str">
        <f t="shared" si="3"/>
        <v>T-06</v>
      </c>
      <c r="C76" s="32">
        <v>44890</v>
      </c>
      <c r="D76" s="25">
        <v>80</v>
      </c>
      <c r="E76" t="str" cm="1">
        <f t="array" ref="E76">insertinto(A76:D76,$F$2:$G$5,"pr_Assignments_Results")</f>
        <v>insert into pr_Assignments_Results values ('20224306', 'T-06', '25-Nov-2022', 80);</v>
      </c>
      <c r="H76">
        <v>74</v>
      </c>
    </row>
    <row r="77" spans="1:8" x14ac:dyDescent="0.15">
      <c r="A77">
        <f t="shared" si="2"/>
        <v>20224306</v>
      </c>
      <c r="B77" t="str">
        <f t="shared" si="3"/>
        <v>T-07</v>
      </c>
      <c r="C77" s="32">
        <v>44840</v>
      </c>
      <c r="D77" s="25">
        <v>81</v>
      </c>
      <c r="E77" t="str" cm="1">
        <f t="array" ref="E77">insertinto(A77:D77,$F$2:$G$5,"pr_Assignments_Results")</f>
        <v>insert into pr_Assignments_Results values ('20224306', 'T-07', '06-Oct-2022', 81);</v>
      </c>
      <c r="H77">
        <v>75</v>
      </c>
    </row>
    <row r="78" spans="1:8" x14ac:dyDescent="0.15">
      <c r="A78">
        <f t="shared" si="2"/>
        <v>20224306</v>
      </c>
      <c r="B78" t="str">
        <f t="shared" si="3"/>
        <v>T-08</v>
      </c>
      <c r="C78" s="32">
        <v>44855</v>
      </c>
      <c r="D78" s="25">
        <v>72</v>
      </c>
      <c r="E78" t="str" cm="1">
        <f t="array" ref="E78">insertinto(A78:D78,$F$2:$G$5,"pr_Assignments_Results")</f>
        <v>insert into pr_Assignments_Results values ('20224306', 'T-08', '21-Oct-2022', 72);</v>
      </c>
      <c r="H78">
        <v>76</v>
      </c>
    </row>
    <row r="79" spans="1:8" x14ac:dyDescent="0.15">
      <c r="A79">
        <f t="shared" si="2"/>
        <v>20224306</v>
      </c>
      <c r="B79" t="str">
        <f t="shared" si="3"/>
        <v>T-09</v>
      </c>
      <c r="C79" s="32">
        <v>44883</v>
      </c>
      <c r="D79" s="25">
        <v>89</v>
      </c>
      <c r="E79" t="str" cm="1">
        <f t="array" ref="E79">insertinto(A79:D79,$F$2:$G$5,"pr_Assignments_Results")</f>
        <v>insert into pr_Assignments_Results values ('20224306', 'T-09', '18-Nov-2022', 89);</v>
      </c>
      <c r="H79">
        <v>77</v>
      </c>
    </row>
    <row r="80" spans="1:8" x14ac:dyDescent="0.15">
      <c r="A80">
        <f t="shared" si="2"/>
        <v>20224306</v>
      </c>
      <c r="B80" t="str">
        <f t="shared" si="3"/>
        <v>T-10</v>
      </c>
      <c r="C80" s="32">
        <v>44892</v>
      </c>
      <c r="D80" s="25">
        <v>77</v>
      </c>
      <c r="E80" t="str" cm="1">
        <f t="array" ref="E80">insertinto(A80:D80,$F$2:$G$5,"pr_Assignments_Results")</f>
        <v>insert into pr_Assignments_Results values ('20224306', 'T-10', '27-Nov-2022', 77);</v>
      </c>
      <c r="H80">
        <v>78</v>
      </c>
    </row>
    <row r="81" spans="1:8" x14ac:dyDescent="0.15">
      <c r="A81">
        <f t="shared" si="2"/>
        <v>20224306</v>
      </c>
      <c r="B81" t="str">
        <f t="shared" si="3"/>
        <v>T-11</v>
      </c>
      <c r="C81" s="32">
        <v>44957</v>
      </c>
      <c r="D81" s="25">
        <v>98</v>
      </c>
      <c r="E81" t="str" cm="1">
        <f t="array" ref="E81">insertinto(A81:D81,$F$2:$G$5,"pr_Assignments_Results")</f>
        <v>insert into pr_Assignments_Results values ('20224306', 'T-11', '31-Jan-2023', 98);</v>
      </c>
      <c r="H81">
        <v>79</v>
      </c>
    </row>
    <row r="82" spans="1:8" x14ac:dyDescent="0.15">
      <c r="A82">
        <f t="shared" si="2"/>
        <v>20224306</v>
      </c>
      <c r="B82" t="str">
        <f t="shared" si="3"/>
        <v>T-12</v>
      </c>
      <c r="C82" s="32">
        <v>44970</v>
      </c>
      <c r="D82" s="25">
        <v>91</v>
      </c>
      <c r="E82" t="str" cm="1">
        <f t="array" ref="E82">insertinto(A82:D82,$F$2:$G$5,"pr_Assignments_Results")</f>
        <v>insert into pr_Assignments_Results values ('20224306', 'T-12', '13-Feb-2023', 91);</v>
      </c>
      <c r="H82">
        <v>80</v>
      </c>
    </row>
    <row r="83" spans="1:8" x14ac:dyDescent="0.15">
      <c r="A83">
        <f t="shared" si="2"/>
        <v>20224306</v>
      </c>
      <c r="B83" t="str">
        <f t="shared" si="3"/>
        <v>T-13</v>
      </c>
      <c r="C83" s="32">
        <v>44985</v>
      </c>
      <c r="D83" s="25">
        <v>72</v>
      </c>
      <c r="E83" t="str" cm="1">
        <f t="array" ref="E83">insertinto(A83:D83,$F$2:$G$5,"pr_Assignments_Results")</f>
        <v>insert into pr_Assignments_Results values ('20224306', 'T-13', '28-Feb-2023', 72);</v>
      </c>
      <c r="H83">
        <v>81</v>
      </c>
    </row>
    <row r="84" spans="1:8" x14ac:dyDescent="0.15">
      <c r="A84">
        <f t="shared" si="2"/>
        <v>20224306</v>
      </c>
      <c r="B84" t="str">
        <f t="shared" si="3"/>
        <v>T-14</v>
      </c>
      <c r="C84" s="32">
        <v>44997</v>
      </c>
      <c r="D84" s="25">
        <v>83</v>
      </c>
      <c r="E84" t="str" cm="1">
        <f t="array" ref="E84">insertinto(A84:D84,$F$2:$G$5,"pr_Assignments_Results")</f>
        <v>insert into pr_Assignments_Results values ('20224306', 'T-14', '12-Mar-2023', 83);</v>
      </c>
      <c r="H84">
        <v>82</v>
      </c>
    </row>
    <row r="85" spans="1:8" x14ac:dyDescent="0.15">
      <c r="A85">
        <f t="shared" si="2"/>
        <v>20224306</v>
      </c>
      <c r="B85" t="str">
        <f t="shared" si="3"/>
        <v>T-15</v>
      </c>
      <c r="C85" s="32">
        <v>44953</v>
      </c>
      <c r="D85" s="25">
        <v>82</v>
      </c>
      <c r="E85" t="str" cm="1">
        <f t="array" ref="E85">insertinto(A85:D85,$F$2:$G$5,"pr_Assignments_Results")</f>
        <v>insert into pr_Assignments_Results values ('20224306', 'T-15', '27-Jan-2023', 82);</v>
      </c>
      <c r="H85">
        <v>83</v>
      </c>
    </row>
    <row r="86" spans="1:8" x14ac:dyDescent="0.15">
      <c r="A86">
        <f t="shared" si="2"/>
        <v>20224306</v>
      </c>
      <c r="B86" t="str">
        <f t="shared" si="3"/>
        <v>T-16</v>
      </c>
      <c r="C86" s="32">
        <v>44973</v>
      </c>
      <c r="D86" s="25">
        <v>84</v>
      </c>
      <c r="E86" t="str" cm="1">
        <f t="array" ref="E86">insertinto(A86:D86,$F$2:$G$5,"pr_Assignments_Results")</f>
        <v>insert into pr_Assignments_Results values ('20224306', 'T-16', '16-Feb-2023', 84);</v>
      </c>
      <c r="H86">
        <v>84</v>
      </c>
    </row>
    <row r="87" spans="1:8" x14ac:dyDescent="0.15">
      <c r="A87">
        <f t="shared" si="2"/>
        <v>20224306</v>
      </c>
      <c r="B87" t="str">
        <f t="shared" si="3"/>
        <v>T-17</v>
      </c>
      <c r="C87" s="32">
        <v>44986</v>
      </c>
      <c r="D87" s="25">
        <v>73</v>
      </c>
      <c r="E87" t="str" cm="1">
        <f t="array" ref="E87">insertinto(A87:D87,$F$2:$G$5,"pr_Assignments_Results")</f>
        <v>insert into pr_Assignments_Results values ('20224306', 'T-17', '01-Mar-2023', 73);</v>
      </c>
      <c r="H87">
        <v>85</v>
      </c>
    </row>
    <row r="88" spans="1:8" x14ac:dyDescent="0.15">
      <c r="A88">
        <f t="shared" si="2"/>
        <v>20224306</v>
      </c>
      <c r="B88" t="str">
        <f t="shared" si="3"/>
        <v>T-18</v>
      </c>
      <c r="C88" s="32">
        <v>44963</v>
      </c>
      <c r="D88" s="25">
        <v>91</v>
      </c>
      <c r="E88" t="str" cm="1">
        <f t="array" ref="E88">insertinto(A88:D88,$F$2:$G$5,"pr_Assignments_Results")</f>
        <v>insert into pr_Assignments_Results values ('20224306', 'T-18', '06-Feb-2023', 91);</v>
      </c>
      <c r="H88">
        <v>86</v>
      </c>
    </row>
    <row r="89" spans="1:8" x14ac:dyDescent="0.15">
      <c r="A89">
        <f t="shared" si="2"/>
        <v>20224306</v>
      </c>
      <c r="B89" t="str">
        <f t="shared" si="3"/>
        <v>T-19</v>
      </c>
      <c r="C89" s="32">
        <v>45047</v>
      </c>
      <c r="D89" s="25">
        <v>91</v>
      </c>
      <c r="E89" t="str" cm="1">
        <f t="array" ref="E89">insertinto(A89:D89,$F$2:$G$5,"pr_Assignments_Results")</f>
        <v>insert into pr_Assignments_Results values ('20224306', 'T-19', '01-May-2023', 91);</v>
      </c>
      <c r="H89">
        <v>87</v>
      </c>
    </row>
    <row r="90" spans="1:8" x14ac:dyDescent="0.15">
      <c r="A90">
        <f t="shared" si="2"/>
        <v>20224306</v>
      </c>
      <c r="B90" t="str">
        <f t="shared" si="3"/>
        <v>T-20</v>
      </c>
      <c r="C90" s="32">
        <v>45052</v>
      </c>
      <c r="D90" s="25">
        <v>100</v>
      </c>
      <c r="E90" t="str" cm="1">
        <f t="array" ref="E90">insertinto(A90:D90,$F$2:$G$5,"pr_Assignments_Results")</f>
        <v>insert into pr_Assignments_Results values ('20224306', 'T-20', '06-May-2023', 100);</v>
      </c>
      <c r="H90">
        <v>88</v>
      </c>
    </row>
    <row r="91" spans="1:8" x14ac:dyDescent="0.15">
      <c r="A91">
        <f t="shared" si="2"/>
        <v>20224306</v>
      </c>
      <c r="B91" t="str">
        <f t="shared" si="3"/>
        <v>T-21</v>
      </c>
      <c r="C91" s="32">
        <v>45059</v>
      </c>
      <c r="D91" s="25">
        <v>70</v>
      </c>
      <c r="E91" t="str" cm="1">
        <f t="array" ref="E91">insertinto(A91:D91,$F$2:$G$5,"pr_Assignments_Results")</f>
        <v>insert into pr_Assignments_Results values ('20224306', 'T-21', '13-May-2023', 70);</v>
      </c>
      <c r="H91">
        <v>89</v>
      </c>
    </row>
    <row r="92" spans="1:8" x14ac:dyDescent="0.15">
      <c r="A92">
        <f t="shared" si="2"/>
        <v>20224306</v>
      </c>
      <c r="B92" t="str">
        <f t="shared" si="3"/>
        <v>T-22</v>
      </c>
      <c r="C92" s="32">
        <v>45074</v>
      </c>
      <c r="D92" s="25">
        <v>95</v>
      </c>
      <c r="E92" t="str" cm="1">
        <f t="array" ref="E92">insertinto(A92:D92,$F$2:$G$5,"pr_Assignments_Results")</f>
        <v>insert into pr_Assignments_Results values ('20224306', 'T-22', '28-May-2023', 95);</v>
      </c>
      <c r="H92">
        <v>90</v>
      </c>
    </row>
    <row r="93" spans="1:8" x14ac:dyDescent="0.15">
      <c r="A93">
        <f t="shared" si="2"/>
        <v>20224306</v>
      </c>
      <c r="B93" t="str">
        <f t="shared" si="3"/>
        <v>T-23</v>
      </c>
      <c r="C93" s="32">
        <v>45206</v>
      </c>
      <c r="D93" s="25">
        <v>70</v>
      </c>
      <c r="E93" t="str" cm="1">
        <f t="array" ref="E93">insertinto(A93:D93,$F$2:$G$5,"pr_Assignments_Results")</f>
        <v>insert into pr_Assignments_Results values ('20224306', 'T-23', '07-Oct-2023', 70);</v>
      </c>
      <c r="H93">
        <v>91</v>
      </c>
    </row>
    <row r="94" spans="1:8" x14ac:dyDescent="0.15">
      <c r="A94">
        <f t="shared" si="2"/>
        <v>20224306</v>
      </c>
      <c r="B94" t="str">
        <f t="shared" si="3"/>
        <v>T-24</v>
      </c>
      <c r="C94" s="32">
        <v>45230</v>
      </c>
      <c r="D94" s="25">
        <v>94</v>
      </c>
      <c r="E94" t="str" cm="1">
        <f t="array" ref="E94">insertinto(A94:D94,$F$2:$G$5,"pr_Assignments_Results")</f>
        <v>insert into pr_Assignments_Results values ('20224306', 'T-24', '31-Oct-2023', 94);</v>
      </c>
      <c r="H94">
        <v>92</v>
      </c>
    </row>
    <row r="95" spans="1:8" x14ac:dyDescent="0.15">
      <c r="A95">
        <f t="shared" si="2"/>
        <v>20224306</v>
      </c>
      <c r="B95" t="str">
        <f t="shared" si="3"/>
        <v>T-25</v>
      </c>
      <c r="C95" s="32">
        <v>44891</v>
      </c>
      <c r="D95" s="25">
        <v>75</v>
      </c>
      <c r="E95" t="str" cm="1">
        <f t="array" ref="E95">insertinto(A95:D95,$F$2:$G$5,"pr_Assignments_Results")</f>
        <v>insert into pr_Assignments_Results values ('20224306', 'T-25', '26-Nov-2022', 75);</v>
      </c>
      <c r="H95">
        <v>93</v>
      </c>
    </row>
    <row r="96" spans="1:8" x14ac:dyDescent="0.15">
      <c r="A96">
        <f t="shared" si="2"/>
        <v>20224306</v>
      </c>
      <c r="B96" t="str">
        <f t="shared" si="3"/>
        <v>T-26</v>
      </c>
      <c r="C96" s="32">
        <v>45215</v>
      </c>
      <c r="D96" s="25">
        <v>70</v>
      </c>
      <c r="E96" t="str" cm="1">
        <f t="array" ref="E96">insertinto(A96:D96,$F$2:$G$5,"pr_Assignments_Results")</f>
        <v>insert into pr_Assignments_Results values ('20224306', 'T-26', '16-Oct-2023', 70);</v>
      </c>
      <c r="H96">
        <v>94</v>
      </c>
    </row>
    <row r="97" spans="1:8" x14ac:dyDescent="0.15">
      <c r="A97">
        <f t="shared" si="2"/>
        <v>20224306</v>
      </c>
      <c r="B97" t="str">
        <f t="shared" si="3"/>
        <v>T-27</v>
      </c>
      <c r="C97" s="32">
        <v>45231</v>
      </c>
      <c r="D97" s="25">
        <v>96</v>
      </c>
      <c r="E97" t="str" cm="1">
        <f t="array" ref="E97">insertinto(A97:D97,$F$2:$G$5,"pr_Assignments_Results")</f>
        <v>insert into pr_Assignments_Results values ('20224306', 'T-27', '01-Nov-2023', 96);</v>
      </c>
      <c r="H97">
        <v>95</v>
      </c>
    </row>
    <row r="98" spans="1:8" x14ac:dyDescent="0.15">
      <c r="A98">
        <f t="shared" si="2"/>
        <v>20224306</v>
      </c>
      <c r="B98" t="str">
        <f t="shared" si="3"/>
        <v>T-28</v>
      </c>
      <c r="C98" s="32">
        <v>45261</v>
      </c>
      <c r="D98" s="25">
        <v>76</v>
      </c>
      <c r="E98" t="str" cm="1">
        <f t="array" ref="E98">insertinto(A98:D98,$F$2:$G$5,"pr_Assignments_Results")</f>
        <v>insert into pr_Assignments_Results values ('20224306', 'T-28', '01-Dec-2023', 76);</v>
      </c>
      <c r="H98">
        <v>96</v>
      </c>
    </row>
    <row r="99" spans="1:8" x14ac:dyDescent="0.15">
      <c r="A99">
        <f t="shared" si="2"/>
        <v>20224306</v>
      </c>
      <c r="B99" t="str">
        <f t="shared" si="3"/>
        <v>T-29</v>
      </c>
      <c r="C99" s="32">
        <v>44948</v>
      </c>
      <c r="D99" s="25">
        <v>80</v>
      </c>
      <c r="E99" t="str" cm="1">
        <f t="array" ref="E99">insertinto(A99:D99,$F$2:$G$5,"pr_Assignments_Results")</f>
        <v>insert into pr_Assignments_Results values ('20224306', 'T-29', '22-Jan-2023', 80);</v>
      </c>
      <c r="H99">
        <v>97</v>
      </c>
    </row>
    <row r="100" spans="1:8" x14ac:dyDescent="0.15">
      <c r="A100">
        <f t="shared" si="2"/>
        <v>20224306</v>
      </c>
      <c r="B100" t="str">
        <f t="shared" si="3"/>
        <v>T-30</v>
      </c>
      <c r="C100" s="32">
        <v>45215</v>
      </c>
      <c r="D100" s="25">
        <v>97</v>
      </c>
      <c r="E100" t="str" cm="1">
        <f t="array" ref="E100">insertinto(A100:D100,$F$2:$G$5,"pr_Assignments_Results")</f>
        <v>insert into pr_Assignments_Results values ('20224306', 'T-30', '16-Oct-2023', 97);</v>
      </c>
      <c r="H100">
        <v>98</v>
      </c>
    </row>
    <row r="101" spans="1:8" x14ac:dyDescent="0.15">
      <c r="A101">
        <f t="shared" si="2"/>
        <v>20224306</v>
      </c>
      <c r="B101" t="str">
        <f t="shared" si="3"/>
        <v>T-31</v>
      </c>
      <c r="C101" s="32">
        <v>45229</v>
      </c>
      <c r="D101" s="25">
        <v>87</v>
      </c>
      <c r="E101" t="str" cm="1">
        <f t="array" ref="E101">insertinto(A101:D101,$F$2:$G$5,"pr_Assignments_Results")</f>
        <v>insert into pr_Assignments_Results values ('20224306', 'T-31', '30-Oct-2023', 87);</v>
      </c>
      <c r="H101">
        <v>99</v>
      </c>
    </row>
    <row r="102" spans="1:8" x14ac:dyDescent="0.15">
      <c r="A102">
        <f t="shared" si="2"/>
        <v>20224306</v>
      </c>
      <c r="B102" t="str">
        <f t="shared" si="3"/>
        <v>T-32</v>
      </c>
      <c r="C102" s="32">
        <v>45248</v>
      </c>
      <c r="D102" s="25">
        <v>83</v>
      </c>
      <c r="E102" t="str" cm="1">
        <f t="array" ref="E102">insertinto(A102:D102,$F$2:$G$5,"pr_Assignments_Results")</f>
        <v>insert into pr_Assignments_Results values ('20224306', 'T-32', '18-Nov-2023', 83);</v>
      </c>
      <c r="H102">
        <v>100</v>
      </c>
    </row>
    <row r="103" spans="1:8" x14ac:dyDescent="0.15">
      <c r="A103">
        <f t="shared" si="2"/>
        <v>20224306</v>
      </c>
      <c r="B103" t="str">
        <f t="shared" si="3"/>
        <v>T-33</v>
      </c>
      <c r="C103" s="32">
        <v>45262</v>
      </c>
      <c r="D103" s="25">
        <v>97</v>
      </c>
      <c r="E103" t="str" cm="1">
        <f t="array" ref="E103">insertinto(A103:D103,$F$2:$G$5,"pr_Assignments_Results")</f>
        <v>insert into pr_Assignments_Results values ('20224306', 'T-33', '02-Dec-2023', 97);</v>
      </c>
      <c r="H103">
        <v>101</v>
      </c>
    </row>
    <row r="104" spans="1:8" x14ac:dyDescent="0.15">
      <c r="A104">
        <f t="shared" si="2"/>
        <v>20220731</v>
      </c>
      <c r="B104" t="str">
        <f t="shared" si="3"/>
        <v>T-00</v>
      </c>
      <c r="C104" s="32">
        <v>44844</v>
      </c>
      <c r="D104" s="25">
        <v>76</v>
      </c>
      <c r="E104" t="str" cm="1">
        <f t="array" ref="E104">insertinto(A104:D104,$F$2:$G$5,"pr_Assignments_Results")</f>
        <v>insert into pr_Assignments_Results values ('20220731', 'T-00', '10-Oct-2022', 76);</v>
      </c>
      <c r="H104">
        <v>102</v>
      </c>
    </row>
    <row r="105" spans="1:8" x14ac:dyDescent="0.15">
      <c r="A105">
        <f t="shared" si="2"/>
        <v>20220731</v>
      </c>
      <c r="B105" t="str">
        <f t="shared" si="3"/>
        <v>T-01</v>
      </c>
      <c r="C105" s="32">
        <v>44851</v>
      </c>
      <c r="D105" s="25">
        <v>70</v>
      </c>
      <c r="E105" t="str" cm="1">
        <f t="array" ref="E105">insertinto(A105:D105,$F$2:$G$5,"pr_Assignments_Results")</f>
        <v>insert into pr_Assignments_Results values ('20220731', 'T-01', '17-Oct-2022', 70);</v>
      </c>
      <c r="H105">
        <v>103</v>
      </c>
    </row>
    <row r="106" spans="1:8" x14ac:dyDescent="0.15">
      <c r="A106">
        <f t="shared" si="2"/>
        <v>20220731</v>
      </c>
      <c r="B106" t="str">
        <f t="shared" si="3"/>
        <v>T-02</v>
      </c>
      <c r="C106" s="32">
        <v>44875</v>
      </c>
      <c r="D106" s="25">
        <v>84</v>
      </c>
      <c r="E106" t="str" cm="1">
        <f t="array" ref="E106">insertinto(A106:D106,$F$2:$G$5,"pr_Assignments_Results")</f>
        <v>insert into pr_Assignments_Results values ('20220731', 'T-02', '10-Nov-2022', 84);</v>
      </c>
      <c r="H106">
        <v>104</v>
      </c>
    </row>
    <row r="107" spans="1:8" x14ac:dyDescent="0.15">
      <c r="A107">
        <f t="shared" si="2"/>
        <v>20220731</v>
      </c>
      <c r="B107" t="str">
        <f t="shared" si="3"/>
        <v>T-03</v>
      </c>
      <c r="C107" s="32">
        <v>44881</v>
      </c>
      <c r="D107" s="25">
        <v>90</v>
      </c>
      <c r="E107" t="str" cm="1">
        <f t="array" ref="E107">insertinto(A107:D107,$F$2:$G$5,"pr_Assignments_Results")</f>
        <v>insert into pr_Assignments_Results values ('20220731', 'T-03', '16-Nov-2022', 90);</v>
      </c>
      <c r="H107">
        <v>105</v>
      </c>
    </row>
    <row r="108" spans="1:8" x14ac:dyDescent="0.15">
      <c r="A108">
        <f t="shared" si="2"/>
        <v>20220731</v>
      </c>
      <c r="B108" t="str">
        <f t="shared" si="3"/>
        <v>T-04</v>
      </c>
      <c r="C108" s="32">
        <v>44855</v>
      </c>
      <c r="D108" s="25">
        <v>88</v>
      </c>
      <c r="E108" t="str" cm="1">
        <f t="array" ref="E108">insertinto(A108:D108,$F$2:$G$5,"pr_Assignments_Results")</f>
        <v>insert into pr_Assignments_Results values ('20220731', 'T-04', '21-Oct-2022', 88);</v>
      </c>
      <c r="H108">
        <v>106</v>
      </c>
    </row>
    <row r="109" spans="1:8" x14ac:dyDescent="0.15">
      <c r="A109">
        <f t="shared" si="2"/>
        <v>20220731</v>
      </c>
      <c r="B109" t="str">
        <f t="shared" si="3"/>
        <v>T-05</v>
      </c>
      <c r="C109" s="32">
        <v>44837</v>
      </c>
      <c r="D109" s="25">
        <v>74</v>
      </c>
      <c r="E109" t="str" cm="1">
        <f t="array" ref="E109">insertinto(A109:D109,$F$2:$G$5,"pr_Assignments_Results")</f>
        <v>insert into pr_Assignments_Results values ('20220731', 'T-05', '03-Oct-2022', 74);</v>
      </c>
      <c r="H109">
        <v>107</v>
      </c>
    </row>
    <row r="110" spans="1:8" x14ac:dyDescent="0.15">
      <c r="A110">
        <f t="shared" si="2"/>
        <v>20220731</v>
      </c>
      <c r="B110" t="str">
        <f t="shared" si="3"/>
        <v>T-06</v>
      </c>
      <c r="C110" s="32">
        <v>44886</v>
      </c>
      <c r="D110" s="25">
        <v>93</v>
      </c>
      <c r="E110" t="str" cm="1">
        <f t="array" ref="E110">insertinto(A110:D110,$F$2:$G$5,"pr_Assignments_Results")</f>
        <v>insert into pr_Assignments_Results values ('20220731', 'T-06', '21-Nov-2022', 93);</v>
      </c>
      <c r="H110">
        <v>108</v>
      </c>
    </row>
    <row r="111" spans="1:8" x14ac:dyDescent="0.15">
      <c r="A111">
        <f t="shared" si="2"/>
        <v>20220731</v>
      </c>
      <c r="B111" t="str">
        <f t="shared" si="3"/>
        <v>T-07</v>
      </c>
      <c r="C111" s="32">
        <v>44842</v>
      </c>
      <c r="D111" s="25">
        <v>97</v>
      </c>
      <c r="E111" t="str" cm="1">
        <f t="array" ref="E111">insertinto(A111:D111,$F$2:$G$5,"pr_Assignments_Results")</f>
        <v>insert into pr_Assignments_Results values ('20220731', 'T-07', '08-Oct-2022', 97);</v>
      </c>
      <c r="H111">
        <v>109</v>
      </c>
    </row>
    <row r="112" spans="1:8" x14ac:dyDescent="0.15">
      <c r="A112">
        <f t="shared" si="2"/>
        <v>20220731</v>
      </c>
      <c r="B112" t="str">
        <f t="shared" si="3"/>
        <v>T-08</v>
      </c>
      <c r="C112" s="32">
        <v>44851</v>
      </c>
      <c r="D112" s="25">
        <v>79</v>
      </c>
      <c r="E112" t="str" cm="1">
        <f t="array" ref="E112">insertinto(A112:D112,$F$2:$G$5,"pr_Assignments_Results")</f>
        <v>insert into pr_Assignments_Results values ('20220731', 'T-08', '17-Oct-2022', 79);</v>
      </c>
      <c r="H112">
        <v>110</v>
      </c>
    </row>
    <row r="113" spans="1:8" x14ac:dyDescent="0.15">
      <c r="A113">
        <f t="shared" si="2"/>
        <v>20220731</v>
      </c>
      <c r="B113" t="str">
        <f t="shared" si="3"/>
        <v>T-09</v>
      </c>
      <c r="C113" s="32">
        <v>44881</v>
      </c>
      <c r="D113" s="25">
        <v>93</v>
      </c>
      <c r="E113" t="str" cm="1">
        <f t="array" ref="E113">insertinto(A113:D113,$F$2:$G$5,"pr_Assignments_Results")</f>
        <v>insert into pr_Assignments_Results values ('20220731', 'T-09', '16-Nov-2022', 93);</v>
      </c>
      <c r="H113">
        <v>111</v>
      </c>
    </row>
    <row r="114" spans="1:8" x14ac:dyDescent="0.15">
      <c r="A114">
        <f t="shared" si="2"/>
        <v>20220731</v>
      </c>
      <c r="B114" t="str">
        <f t="shared" si="3"/>
        <v>T-10</v>
      </c>
      <c r="C114" s="32">
        <v>44891</v>
      </c>
      <c r="D114" s="25">
        <v>75</v>
      </c>
      <c r="E114" t="str" cm="1">
        <f t="array" ref="E114">insertinto(A114:D114,$F$2:$G$5,"pr_Assignments_Results")</f>
        <v>insert into pr_Assignments_Results values ('20220731', 'T-10', '26-Nov-2022', 75);</v>
      </c>
      <c r="H114">
        <v>112</v>
      </c>
    </row>
    <row r="115" spans="1:8" x14ac:dyDescent="0.15">
      <c r="A115">
        <f t="shared" si="2"/>
        <v>20220731</v>
      </c>
      <c r="B115" t="str">
        <f t="shared" si="3"/>
        <v>T-11</v>
      </c>
      <c r="C115" s="32">
        <v>44957</v>
      </c>
      <c r="D115" s="25">
        <v>84</v>
      </c>
      <c r="E115" t="str" cm="1">
        <f t="array" ref="E115">insertinto(A115:D115,$F$2:$G$5,"pr_Assignments_Results")</f>
        <v>insert into pr_Assignments_Results values ('20220731', 'T-11', '31-Jan-2023', 84);</v>
      </c>
      <c r="H115">
        <v>113</v>
      </c>
    </row>
    <row r="116" spans="1:8" x14ac:dyDescent="0.15">
      <c r="A116">
        <f t="shared" si="2"/>
        <v>20220731</v>
      </c>
      <c r="B116" t="str">
        <f t="shared" si="3"/>
        <v>T-12</v>
      </c>
      <c r="C116" s="32">
        <v>44971</v>
      </c>
      <c r="D116" s="25">
        <v>88</v>
      </c>
      <c r="E116" t="str" cm="1">
        <f t="array" ref="E116">insertinto(A116:D116,$F$2:$G$5,"pr_Assignments_Results")</f>
        <v>insert into pr_Assignments_Results values ('20220731', 'T-12', '14-Feb-2023', 88);</v>
      </c>
      <c r="H116">
        <v>114</v>
      </c>
    </row>
    <row r="117" spans="1:8" x14ac:dyDescent="0.15">
      <c r="A117">
        <f t="shared" si="2"/>
        <v>20220731</v>
      </c>
      <c r="B117" t="str">
        <f t="shared" si="3"/>
        <v>T-13</v>
      </c>
      <c r="C117" s="32">
        <v>44983</v>
      </c>
      <c r="D117" s="25">
        <v>96</v>
      </c>
      <c r="E117" t="str" cm="1">
        <f t="array" ref="E117">insertinto(A117:D117,$F$2:$G$5,"pr_Assignments_Results")</f>
        <v>insert into pr_Assignments_Results values ('20220731', 'T-13', '26-Feb-2023', 96);</v>
      </c>
      <c r="H117">
        <v>115</v>
      </c>
    </row>
    <row r="118" spans="1:8" x14ac:dyDescent="0.15">
      <c r="A118">
        <f t="shared" si="2"/>
        <v>20220731</v>
      </c>
      <c r="B118" t="str">
        <f t="shared" si="3"/>
        <v>T-14</v>
      </c>
      <c r="C118" s="32">
        <v>44998</v>
      </c>
      <c r="D118" s="25">
        <v>86</v>
      </c>
      <c r="E118" t="str" cm="1">
        <f t="array" ref="E118">insertinto(A118:D118,$F$2:$G$5,"pr_Assignments_Results")</f>
        <v>insert into pr_Assignments_Results values ('20220731', 'T-14', '13-Mar-2023', 86);</v>
      </c>
      <c r="H118">
        <v>116</v>
      </c>
    </row>
    <row r="119" spans="1:8" x14ac:dyDescent="0.15">
      <c r="A119">
        <f t="shared" si="2"/>
        <v>20220731</v>
      </c>
      <c r="B119" t="str">
        <f t="shared" si="3"/>
        <v>T-15</v>
      </c>
      <c r="C119" s="32">
        <v>44954</v>
      </c>
      <c r="D119" s="25">
        <v>99</v>
      </c>
      <c r="E119" t="str" cm="1">
        <f t="array" ref="E119">insertinto(A119:D119,$F$2:$G$5,"pr_Assignments_Results")</f>
        <v>insert into pr_Assignments_Results values ('20220731', 'T-15', '28-Jan-2023', 99);</v>
      </c>
      <c r="H119">
        <v>117</v>
      </c>
    </row>
    <row r="120" spans="1:8" x14ac:dyDescent="0.15">
      <c r="A120">
        <f t="shared" si="2"/>
        <v>20220731</v>
      </c>
      <c r="B120" t="str">
        <f t="shared" si="3"/>
        <v>T-16</v>
      </c>
      <c r="C120" s="32">
        <v>44972</v>
      </c>
      <c r="D120" s="25">
        <v>92</v>
      </c>
      <c r="E120" t="str" cm="1">
        <f t="array" ref="E120">insertinto(A120:D120,$F$2:$G$5,"pr_Assignments_Results")</f>
        <v>insert into pr_Assignments_Results values ('20220731', 'T-16', '15-Feb-2023', 92);</v>
      </c>
      <c r="H120">
        <v>118</v>
      </c>
    </row>
    <row r="121" spans="1:8" x14ac:dyDescent="0.15">
      <c r="A121">
        <f t="shared" si="2"/>
        <v>20220731</v>
      </c>
      <c r="B121" t="str">
        <f t="shared" si="3"/>
        <v>T-17</v>
      </c>
      <c r="C121" s="32">
        <v>44981</v>
      </c>
      <c r="D121" s="25">
        <v>93</v>
      </c>
      <c r="E121" t="str" cm="1">
        <f t="array" ref="E121">insertinto(A121:D121,$F$2:$G$5,"pr_Assignments_Results")</f>
        <v>insert into pr_Assignments_Results values ('20220731', 'T-17', '24-Feb-2023', 93);</v>
      </c>
      <c r="H121">
        <v>119</v>
      </c>
    </row>
    <row r="122" spans="1:8" x14ac:dyDescent="0.15">
      <c r="A122">
        <f t="shared" si="2"/>
        <v>20220731</v>
      </c>
      <c r="B122" t="str">
        <f t="shared" si="3"/>
        <v>T-18</v>
      </c>
      <c r="C122" s="32">
        <v>44962</v>
      </c>
      <c r="D122" s="25">
        <v>73</v>
      </c>
      <c r="E122" t="str" cm="1">
        <f t="array" ref="E122">insertinto(A122:D122,$F$2:$G$5,"pr_Assignments_Results")</f>
        <v>insert into pr_Assignments_Results values ('20220731', 'T-18', '05-Feb-2023', 73);</v>
      </c>
      <c r="H122">
        <v>120</v>
      </c>
    </row>
    <row r="123" spans="1:8" x14ac:dyDescent="0.15">
      <c r="A123">
        <f t="shared" si="2"/>
        <v>20220731</v>
      </c>
      <c r="B123" t="str">
        <f t="shared" si="3"/>
        <v>T-19</v>
      </c>
      <c r="C123" s="32">
        <v>45043</v>
      </c>
      <c r="D123" s="25">
        <v>93</v>
      </c>
      <c r="E123" t="str" cm="1">
        <f t="array" ref="E123">insertinto(A123:D123,$F$2:$G$5,"pr_Assignments_Results")</f>
        <v>insert into pr_Assignments_Results values ('20220731', 'T-19', '27-Apr-2023', 93);</v>
      </c>
      <c r="H123">
        <v>121</v>
      </c>
    </row>
    <row r="124" spans="1:8" x14ac:dyDescent="0.15">
      <c r="A124">
        <f t="shared" si="2"/>
        <v>20220731</v>
      </c>
      <c r="B124" t="str">
        <f t="shared" si="3"/>
        <v>T-20</v>
      </c>
      <c r="C124" s="32">
        <v>45049</v>
      </c>
      <c r="D124" s="25">
        <v>80</v>
      </c>
      <c r="E124" t="str" cm="1">
        <f t="array" ref="E124">insertinto(A124:D124,$F$2:$G$5,"pr_Assignments_Results")</f>
        <v>insert into pr_Assignments_Results values ('20220731', 'T-20', '03-May-2023', 80);</v>
      </c>
      <c r="H124">
        <v>122</v>
      </c>
    </row>
    <row r="125" spans="1:8" x14ac:dyDescent="0.15">
      <c r="A125">
        <f t="shared" si="2"/>
        <v>20220731</v>
      </c>
      <c r="B125" t="str">
        <f t="shared" si="3"/>
        <v>T-21</v>
      </c>
      <c r="C125" s="32">
        <v>45058</v>
      </c>
      <c r="D125" s="25">
        <v>88</v>
      </c>
      <c r="E125" t="str" cm="1">
        <f t="array" ref="E125">insertinto(A125:D125,$F$2:$G$5,"pr_Assignments_Results")</f>
        <v>insert into pr_Assignments_Results values ('20220731', 'T-21', '12-May-2023', 88);</v>
      </c>
      <c r="H125">
        <v>123</v>
      </c>
    </row>
    <row r="126" spans="1:8" x14ac:dyDescent="0.15">
      <c r="A126">
        <f t="shared" si="2"/>
        <v>20220731</v>
      </c>
      <c r="B126" t="str">
        <f t="shared" si="3"/>
        <v>T-22</v>
      </c>
      <c r="C126" s="32">
        <v>45073</v>
      </c>
      <c r="D126" s="25">
        <v>99</v>
      </c>
      <c r="E126" t="str" cm="1">
        <f t="array" ref="E126">insertinto(A126:D126,$F$2:$G$5,"pr_Assignments_Results")</f>
        <v>insert into pr_Assignments_Results values ('20220731', 'T-22', '27-May-2023', 99);</v>
      </c>
      <c r="H126">
        <v>124</v>
      </c>
    </row>
    <row r="127" spans="1:8" x14ac:dyDescent="0.15">
      <c r="A127">
        <f t="shared" si="2"/>
        <v>20220731</v>
      </c>
      <c r="B127" t="str">
        <f t="shared" si="3"/>
        <v>T-23</v>
      </c>
      <c r="C127" s="32">
        <v>45209</v>
      </c>
      <c r="D127" s="25">
        <v>87</v>
      </c>
      <c r="E127" t="str" cm="1">
        <f t="array" ref="E127">insertinto(A127:D127,$F$2:$G$5,"pr_Assignments_Results")</f>
        <v>insert into pr_Assignments_Results values ('20220731', 'T-23', '10-Oct-2023', 87);</v>
      </c>
      <c r="H127">
        <v>125</v>
      </c>
    </row>
    <row r="128" spans="1:8" x14ac:dyDescent="0.15">
      <c r="A128">
        <f t="shared" si="2"/>
        <v>20220731</v>
      </c>
      <c r="B128" t="str">
        <f t="shared" si="3"/>
        <v>T-24</v>
      </c>
      <c r="C128" s="32">
        <v>45224</v>
      </c>
      <c r="D128" s="25">
        <v>79</v>
      </c>
      <c r="E128" t="str" cm="1">
        <f t="array" ref="E128">insertinto(A128:D128,$F$2:$G$5,"pr_Assignments_Results")</f>
        <v>insert into pr_Assignments_Results values ('20220731', 'T-24', '25-Oct-2023', 79);</v>
      </c>
      <c r="H128">
        <v>126</v>
      </c>
    </row>
    <row r="129" spans="1:8" x14ac:dyDescent="0.15">
      <c r="A129">
        <f t="shared" si="2"/>
        <v>20220731</v>
      </c>
      <c r="B129" t="str">
        <f t="shared" si="3"/>
        <v>T-25</v>
      </c>
      <c r="C129" s="32">
        <v>44888</v>
      </c>
      <c r="D129" s="25">
        <v>80</v>
      </c>
      <c r="E129" t="str" cm="1">
        <f t="array" ref="E129">insertinto(A129:D129,$F$2:$G$5,"pr_Assignments_Results")</f>
        <v>insert into pr_Assignments_Results values ('20220731', 'T-25', '23-Nov-2022', 80);</v>
      </c>
      <c r="H129">
        <v>127</v>
      </c>
    </row>
    <row r="130" spans="1:8" x14ac:dyDescent="0.15">
      <c r="A130">
        <f t="shared" ref="A130:A193" si="4">INDEX($I$2:$I$51,INT(H130/34)+1)</f>
        <v>20220731</v>
      </c>
      <c r="B130" t="str">
        <f t="shared" ref="B130:B193" si="5">INDEX($J$2:$J$35,MOD(H130,34)+1)</f>
        <v>T-26</v>
      </c>
      <c r="C130" s="32">
        <v>45211</v>
      </c>
      <c r="D130" s="25">
        <v>84</v>
      </c>
      <c r="E130" t="str" cm="1">
        <f t="array" ref="E130">insertinto(A130:D130,$F$2:$G$5,"pr_Assignments_Results")</f>
        <v>insert into pr_Assignments_Results values ('20220731', 'T-26', '12-Oct-2023', 84);</v>
      </c>
      <c r="H130">
        <v>128</v>
      </c>
    </row>
    <row r="131" spans="1:8" x14ac:dyDescent="0.15">
      <c r="A131">
        <f t="shared" si="4"/>
        <v>20220731</v>
      </c>
      <c r="B131" t="str">
        <f t="shared" si="5"/>
        <v>T-27</v>
      </c>
      <c r="C131" s="32">
        <v>45230</v>
      </c>
      <c r="D131" s="25">
        <v>96</v>
      </c>
      <c r="E131" t="str" cm="1">
        <f t="array" ref="E131">insertinto(A131:D131,$F$2:$G$5,"pr_Assignments_Results")</f>
        <v>insert into pr_Assignments_Results values ('20220731', 'T-27', '31-Oct-2023', 96);</v>
      </c>
      <c r="H131">
        <v>129</v>
      </c>
    </row>
    <row r="132" spans="1:8" x14ac:dyDescent="0.15">
      <c r="A132">
        <f t="shared" si="4"/>
        <v>20220731</v>
      </c>
      <c r="B132" t="str">
        <f t="shared" si="5"/>
        <v>T-28</v>
      </c>
      <c r="C132" s="32">
        <v>45264</v>
      </c>
      <c r="D132" s="25">
        <v>85</v>
      </c>
      <c r="E132" t="str" cm="1">
        <f t="array" ref="E132">insertinto(A132:D132,$F$2:$G$5,"pr_Assignments_Results")</f>
        <v>insert into pr_Assignments_Results values ('20220731', 'T-28', '04-Dec-2023', 85);</v>
      </c>
      <c r="H132">
        <v>130</v>
      </c>
    </row>
    <row r="133" spans="1:8" x14ac:dyDescent="0.15">
      <c r="A133">
        <f t="shared" si="4"/>
        <v>20220731</v>
      </c>
      <c r="B133" t="str">
        <f t="shared" si="5"/>
        <v>T-29</v>
      </c>
      <c r="C133" s="32">
        <v>44947</v>
      </c>
      <c r="D133" s="25">
        <v>74</v>
      </c>
      <c r="E133" t="str" cm="1">
        <f t="array" ref="E133">insertinto(A133:D133,$F$2:$G$5,"pr_Assignments_Results")</f>
        <v>insert into pr_Assignments_Results values ('20220731', 'T-29', '21-Jan-2023', 74);</v>
      </c>
      <c r="H133">
        <v>131</v>
      </c>
    </row>
    <row r="134" spans="1:8" x14ac:dyDescent="0.15">
      <c r="A134">
        <f t="shared" si="4"/>
        <v>20220731</v>
      </c>
      <c r="B134" t="str">
        <f t="shared" si="5"/>
        <v>T-30</v>
      </c>
      <c r="C134" s="32">
        <v>45209</v>
      </c>
      <c r="D134" s="25">
        <v>80</v>
      </c>
      <c r="E134" t="str" cm="1">
        <f t="array" ref="E134">insertinto(A134:D134,$F$2:$G$5,"pr_Assignments_Results")</f>
        <v>insert into pr_Assignments_Results values ('20220731', 'T-30', '10-Oct-2023', 80);</v>
      </c>
      <c r="H134">
        <v>132</v>
      </c>
    </row>
    <row r="135" spans="1:8" x14ac:dyDescent="0.15">
      <c r="A135">
        <f t="shared" si="4"/>
        <v>20220731</v>
      </c>
      <c r="B135" t="str">
        <f t="shared" si="5"/>
        <v>T-31</v>
      </c>
      <c r="C135" s="32">
        <v>45232</v>
      </c>
      <c r="D135" s="25">
        <v>91</v>
      </c>
      <c r="E135" t="str" cm="1">
        <f t="array" ref="E135">insertinto(A135:D135,$F$2:$G$5,"pr_Assignments_Results")</f>
        <v>insert into pr_Assignments_Results values ('20220731', 'T-31', '02-Nov-2023', 91);</v>
      </c>
      <c r="H135">
        <v>133</v>
      </c>
    </row>
    <row r="136" spans="1:8" x14ac:dyDescent="0.15">
      <c r="A136">
        <f t="shared" si="4"/>
        <v>20220731</v>
      </c>
      <c r="B136" t="str">
        <f t="shared" si="5"/>
        <v>T-32</v>
      </c>
      <c r="C136" s="32">
        <v>45243</v>
      </c>
      <c r="D136" s="25">
        <v>88</v>
      </c>
      <c r="E136" t="str" cm="1">
        <f t="array" ref="E136">insertinto(A136:D136,$F$2:$G$5,"pr_Assignments_Results")</f>
        <v>insert into pr_Assignments_Results values ('20220731', 'T-32', '13-Nov-2023', 88);</v>
      </c>
      <c r="H136">
        <v>134</v>
      </c>
    </row>
    <row r="137" spans="1:8" x14ac:dyDescent="0.15">
      <c r="A137">
        <f t="shared" si="4"/>
        <v>20220731</v>
      </c>
      <c r="B137" t="str">
        <f t="shared" si="5"/>
        <v>T-33</v>
      </c>
      <c r="C137" s="32">
        <v>45262</v>
      </c>
      <c r="D137" s="25">
        <v>93</v>
      </c>
      <c r="E137" t="str" cm="1">
        <f t="array" ref="E137">insertinto(A137:D137,$F$2:$G$5,"pr_Assignments_Results")</f>
        <v>insert into pr_Assignments_Results values ('20220731', 'T-33', '02-Dec-2023', 93);</v>
      </c>
      <c r="H137">
        <v>135</v>
      </c>
    </row>
    <row r="138" spans="1:8" x14ac:dyDescent="0.15">
      <c r="A138">
        <f t="shared" si="4"/>
        <v>20227092</v>
      </c>
      <c r="B138" t="str">
        <f t="shared" si="5"/>
        <v>T-00</v>
      </c>
      <c r="C138" s="32">
        <v>44841</v>
      </c>
      <c r="D138" s="25">
        <v>82</v>
      </c>
      <c r="E138" t="str" cm="1">
        <f t="array" ref="E138">insertinto(A138:D138,$F$2:$G$5,"pr_Assignments_Results")</f>
        <v>insert into pr_Assignments_Results values ('20227092', 'T-00', '07-Oct-2022', 82);</v>
      </c>
      <c r="H138">
        <v>136</v>
      </c>
    </row>
    <row r="139" spans="1:8" x14ac:dyDescent="0.15">
      <c r="A139">
        <f t="shared" si="4"/>
        <v>20227092</v>
      </c>
      <c r="B139" t="str">
        <f t="shared" si="5"/>
        <v>T-01</v>
      </c>
      <c r="C139" s="32">
        <v>44848</v>
      </c>
      <c r="D139" s="25">
        <v>95</v>
      </c>
      <c r="E139" t="str" cm="1">
        <f t="array" ref="E139">insertinto(A139:D139,$F$2:$G$5,"pr_Assignments_Results")</f>
        <v>insert into pr_Assignments_Results values ('20227092', 'T-01', '14-Oct-2022', 95);</v>
      </c>
      <c r="H139">
        <v>137</v>
      </c>
    </row>
    <row r="140" spans="1:8" x14ac:dyDescent="0.15">
      <c r="A140">
        <f t="shared" si="4"/>
        <v>20227092</v>
      </c>
      <c r="B140" t="str">
        <f t="shared" si="5"/>
        <v>T-02</v>
      </c>
      <c r="C140" s="32">
        <v>44876</v>
      </c>
      <c r="D140" s="25">
        <v>93</v>
      </c>
      <c r="E140" t="str" cm="1">
        <f t="array" ref="E140">insertinto(A140:D140,$F$2:$G$5,"pr_Assignments_Results")</f>
        <v>insert into pr_Assignments_Results values ('20227092', 'T-02', '11-Nov-2022', 93);</v>
      </c>
      <c r="H140">
        <v>138</v>
      </c>
    </row>
    <row r="141" spans="1:8" x14ac:dyDescent="0.15">
      <c r="A141">
        <f t="shared" si="4"/>
        <v>20227092</v>
      </c>
      <c r="B141" t="str">
        <f t="shared" si="5"/>
        <v>T-03</v>
      </c>
      <c r="C141" s="32">
        <v>44884</v>
      </c>
      <c r="D141" s="25">
        <v>83</v>
      </c>
      <c r="E141" t="str" cm="1">
        <f t="array" ref="E141">insertinto(A141:D141,$F$2:$G$5,"pr_Assignments_Results")</f>
        <v>insert into pr_Assignments_Results values ('20227092', 'T-03', '19-Nov-2022', 83);</v>
      </c>
      <c r="H141">
        <v>139</v>
      </c>
    </row>
    <row r="142" spans="1:8" x14ac:dyDescent="0.15">
      <c r="A142">
        <f t="shared" si="4"/>
        <v>20227092</v>
      </c>
      <c r="B142" t="str">
        <f t="shared" si="5"/>
        <v>T-04</v>
      </c>
      <c r="C142" s="32">
        <v>44855</v>
      </c>
      <c r="D142" s="25">
        <v>74</v>
      </c>
      <c r="E142" t="str" cm="1">
        <f t="array" ref="E142">insertinto(A142:D142,$F$2:$G$5,"pr_Assignments_Results")</f>
        <v>insert into pr_Assignments_Results values ('20227092', 'T-04', '21-Oct-2022', 74);</v>
      </c>
      <c r="H142">
        <v>140</v>
      </c>
    </row>
    <row r="143" spans="1:8" x14ac:dyDescent="0.15">
      <c r="A143">
        <f t="shared" si="4"/>
        <v>20227092</v>
      </c>
      <c r="B143" t="str">
        <f t="shared" si="5"/>
        <v>T-05</v>
      </c>
      <c r="C143" s="32">
        <v>44836</v>
      </c>
      <c r="D143" s="25">
        <v>85</v>
      </c>
      <c r="E143" t="str" cm="1">
        <f t="array" ref="E143">insertinto(A143:D143,$F$2:$G$5,"pr_Assignments_Results")</f>
        <v>insert into pr_Assignments_Results values ('20227092', 'T-05', '02-Oct-2022', 85);</v>
      </c>
      <c r="H143">
        <v>141</v>
      </c>
    </row>
    <row r="144" spans="1:8" x14ac:dyDescent="0.15">
      <c r="A144">
        <f t="shared" si="4"/>
        <v>20227092</v>
      </c>
      <c r="B144" t="str">
        <f t="shared" si="5"/>
        <v>T-06</v>
      </c>
      <c r="C144" s="32">
        <v>44886</v>
      </c>
      <c r="D144" s="25">
        <v>84</v>
      </c>
      <c r="E144" t="str" cm="1">
        <f t="array" ref="E144">insertinto(A144:D144,$F$2:$G$5,"pr_Assignments_Results")</f>
        <v>insert into pr_Assignments_Results values ('20227092', 'T-06', '21-Nov-2022', 84);</v>
      </c>
      <c r="H144">
        <v>142</v>
      </c>
    </row>
    <row r="145" spans="1:8" x14ac:dyDescent="0.15">
      <c r="A145">
        <f t="shared" si="4"/>
        <v>20227092</v>
      </c>
      <c r="B145" t="str">
        <f t="shared" si="5"/>
        <v>T-07</v>
      </c>
      <c r="C145" s="32">
        <v>44841</v>
      </c>
      <c r="D145" s="25">
        <v>70</v>
      </c>
      <c r="E145" t="str" cm="1">
        <f t="array" ref="E145">insertinto(A145:D145,$F$2:$G$5,"pr_Assignments_Results")</f>
        <v>insert into pr_Assignments_Results values ('20227092', 'T-07', '07-Oct-2022', 70);</v>
      </c>
      <c r="H145">
        <v>143</v>
      </c>
    </row>
    <row r="146" spans="1:8" x14ac:dyDescent="0.15">
      <c r="A146">
        <f t="shared" si="4"/>
        <v>20227092</v>
      </c>
      <c r="B146" t="str">
        <f t="shared" si="5"/>
        <v>T-08</v>
      </c>
      <c r="C146" s="32">
        <v>44853</v>
      </c>
      <c r="D146" s="25">
        <v>83</v>
      </c>
      <c r="E146" t="str" cm="1">
        <f t="array" ref="E146">insertinto(A146:D146,$F$2:$G$5,"pr_Assignments_Results")</f>
        <v>insert into pr_Assignments_Results values ('20227092', 'T-08', '19-Oct-2022', 83);</v>
      </c>
      <c r="H146">
        <v>144</v>
      </c>
    </row>
    <row r="147" spans="1:8" x14ac:dyDescent="0.15">
      <c r="A147">
        <f t="shared" si="4"/>
        <v>20227092</v>
      </c>
      <c r="B147" t="str">
        <f t="shared" si="5"/>
        <v>T-09</v>
      </c>
      <c r="C147" s="32">
        <v>44878</v>
      </c>
      <c r="D147" s="25">
        <v>74</v>
      </c>
      <c r="E147" t="str" cm="1">
        <f t="array" ref="E147">insertinto(A147:D147,$F$2:$G$5,"pr_Assignments_Results")</f>
        <v>insert into pr_Assignments_Results values ('20227092', 'T-09', '13-Nov-2022', 74);</v>
      </c>
      <c r="H147">
        <v>145</v>
      </c>
    </row>
    <row r="148" spans="1:8" x14ac:dyDescent="0.15">
      <c r="A148">
        <f t="shared" si="4"/>
        <v>20227092</v>
      </c>
      <c r="B148" t="str">
        <f t="shared" si="5"/>
        <v>T-10</v>
      </c>
      <c r="C148" s="32">
        <v>44892</v>
      </c>
      <c r="D148" s="25">
        <v>82</v>
      </c>
      <c r="E148" t="str" cm="1">
        <f t="array" ref="E148">insertinto(A148:D148,$F$2:$G$5,"pr_Assignments_Results")</f>
        <v>insert into pr_Assignments_Results values ('20227092', 'T-10', '27-Nov-2022', 82);</v>
      </c>
      <c r="H148">
        <v>146</v>
      </c>
    </row>
    <row r="149" spans="1:8" x14ac:dyDescent="0.15">
      <c r="A149">
        <f t="shared" si="4"/>
        <v>20227092</v>
      </c>
      <c r="B149" t="str">
        <f t="shared" si="5"/>
        <v>T-11</v>
      </c>
      <c r="C149" s="32">
        <v>44958</v>
      </c>
      <c r="D149" s="25">
        <v>84</v>
      </c>
      <c r="E149" t="str" cm="1">
        <f t="array" ref="E149">insertinto(A149:D149,$F$2:$G$5,"pr_Assignments_Results")</f>
        <v>insert into pr_Assignments_Results values ('20227092', 'T-11', '01-Feb-2023', 84);</v>
      </c>
      <c r="H149">
        <v>147</v>
      </c>
    </row>
    <row r="150" spans="1:8" x14ac:dyDescent="0.15">
      <c r="A150">
        <f t="shared" si="4"/>
        <v>20227092</v>
      </c>
      <c r="B150" t="str">
        <f t="shared" si="5"/>
        <v>T-12</v>
      </c>
      <c r="C150" s="32">
        <v>44973</v>
      </c>
      <c r="D150" s="25">
        <v>83</v>
      </c>
      <c r="E150" t="str" cm="1">
        <f t="array" ref="E150">insertinto(A150:D150,$F$2:$G$5,"pr_Assignments_Results")</f>
        <v>insert into pr_Assignments_Results values ('20227092', 'T-12', '16-Feb-2023', 83);</v>
      </c>
      <c r="H150">
        <v>148</v>
      </c>
    </row>
    <row r="151" spans="1:8" x14ac:dyDescent="0.15">
      <c r="A151">
        <f t="shared" si="4"/>
        <v>20227092</v>
      </c>
      <c r="B151" t="str">
        <f t="shared" si="5"/>
        <v>T-13</v>
      </c>
      <c r="C151" s="32">
        <v>44986</v>
      </c>
      <c r="D151" s="25">
        <v>80</v>
      </c>
      <c r="E151" t="str" cm="1">
        <f t="array" ref="E151">insertinto(A151:D151,$F$2:$G$5,"pr_Assignments_Results")</f>
        <v>insert into pr_Assignments_Results values ('20227092', 'T-13', '01-Mar-2023', 80);</v>
      </c>
      <c r="H151">
        <v>149</v>
      </c>
    </row>
    <row r="152" spans="1:8" x14ac:dyDescent="0.15">
      <c r="A152">
        <f t="shared" si="4"/>
        <v>20227092</v>
      </c>
      <c r="B152" t="str">
        <f t="shared" si="5"/>
        <v>T-14</v>
      </c>
      <c r="C152" s="32">
        <v>44995</v>
      </c>
      <c r="D152" s="25">
        <v>75</v>
      </c>
      <c r="E152" t="str" cm="1">
        <f t="array" ref="E152">insertinto(A152:D152,$F$2:$G$5,"pr_Assignments_Results")</f>
        <v>insert into pr_Assignments_Results values ('20227092', 'T-14', '10-Mar-2023', 75);</v>
      </c>
      <c r="H152">
        <v>150</v>
      </c>
    </row>
    <row r="153" spans="1:8" x14ac:dyDescent="0.15">
      <c r="A153">
        <f t="shared" si="4"/>
        <v>20227092</v>
      </c>
      <c r="B153" t="str">
        <f t="shared" si="5"/>
        <v>T-15</v>
      </c>
      <c r="C153" s="32">
        <v>44955</v>
      </c>
      <c r="D153" s="25">
        <v>70</v>
      </c>
      <c r="E153" t="str" cm="1">
        <f t="array" ref="E153">insertinto(A153:D153,$F$2:$G$5,"pr_Assignments_Results")</f>
        <v>insert into pr_Assignments_Results values ('20227092', 'T-15', '29-Jan-2023', 70);</v>
      </c>
      <c r="H153">
        <v>151</v>
      </c>
    </row>
    <row r="154" spans="1:8" x14ac:dyDescent="0.15">
      <c r="A154">
        <f t="shared" si="4"/>
        <v>20227092</v>
      </c>
      <c r="B154" t="str">
        <f t="shared" si="5"/>
        <v>T-16</v>
      </c>
      <c r="C154" s="32">
        <v>44972</v>
      </c>
      <c r="D154" s="25">
        <v>93</v>
      </c>
      <c r="E154" t="str" cm="1">
        <f t="array" ref="E154">insertinto(A154:D154,$F$2:$G$5,"pr_Assignments_Results")</f>
        <v>insert into pr_Assignments_Results values ('20227092', 'T-16', '15-Feb-2023', 93);</v>
      </c>
      <c r="H154">
        <v>152</v>
      </c>
    </row>
    <row r="155" spans="1:8" x14ac:dyDescent="0.15">
      <c r="A155">
        <f t="shared" si="4"/>
        <v>20227092</v>
      </c>
      <c r="B155" t="str">
        <f t="shared" si="5"/>
        <v>T-17</v>
      </c>
      <c r="C155" s="32">
        <v>44986</v>
      </c>
      <c r="D155" s="25">
        <v>95</v>
      </c>
      <c r="E155" t="str" cm="1">
        <f t="array" ref="E155">insertinto(A155:D155,$F$2:$G$5,"pr_Assignments_Results")</f>
        <v>insert into pr_Assignments_Results values ('20227092', 'T-17', '01-Mar-2023', 95);</v>
      </c>
      <c r="H155">
        <v>153</v>
      </c>
    </row>
    <row r="156" spans="1:8" x14ac:dyDescent="0.15">
      <c r="A156">
        <f t="shared" si="4"/>
        <v>20227092</v>
      </c>
      <c r="B156" t="str">
        <f t="shared" si="5"/>
        <v>T-18</v>
      </c>
      <c r="C156" s="32">
        <v>44963</v>
      </c>
      <c r="D156" s="25">
        <v>70</v>
      </c>
      <c r="E156" t="str" cm="1">
        <f t="array" ref="E156">insertinto(A156:D156,$F$2:$G$5,"pr_Assignments_Results")</f>
        <v>insert into pr_Assignments_Results values ('20227092', 'T-18', '06-Feb-2023', 70);</v>
      </c>
      <c r="H156">
        <v>154</v>
      </c>
    </row>
    <row r="157" spans="1:8" x14ac:dyDescent="0.15">
      <c r="A157">
        <f t="shared" si="4"/>
        <v>20227092</v>
      </c>
      <c r="B157" t="str">
        <f t="shared" si="5"/>
        <v>T-19</v>
      </c>
      <c r="C157" s="32">
        <v>45044</v>
      </c>
      <c r="D157" s="25">
        <v>84</v>
      </c>
      <c r="E157" t="str" cm="1">
        <f t="array" ref="E157">insertinto(A157:D157,$F$2:$G$5,"pr_Assignments_Results")</f>
        <v>insert into pr_Assignments_Results values ('20227092', 'T-19', '28-Apr-2023', 84);</v>
      </c>
      <c r="H157">
        <v>155</v>
      </c>
    </row>
    <row r="158" spans="1:8" x14ac:dyDescent="0.15">
      <c r="A158">
        <f t="shared" si="4"/>
        <v>20227092</v>
      </c>
      <c r="B158" t="str">
        <f t="shared" si="5"/>
        <v>T-20</v>
      </c>
      <c r="C158" s="32">
        <v>45050</v>
      </c>
      <c r="D158" s="25">
        <v>84</v>
      </c>
      <c r="E158" t="str" cm="1">
        <f t="array" ref="E158">insertinto(A158:D158,$F$2:$G$5,"pr_Assignments_Results")</f>
        <v>insert into pr_Assignments_Results values ('20227092', 'T-20', '04-May-2023', 84);</v>
      </c>
      <c r="H158">
        <v>156</v>
      </c>
    </row>
    <row r="159" spans="1:8" x14ac:dyDescent="0.15">
      <c r="A159">
        <f t="shared" si="4"/>
        <v>20227092</v>
      </c>
      <c r="B159" t="str">
        <f t="shared" si="5"/>
        <v>T-21</v>
      </c>
      <c r="C159" s="32">
        <v>45060</v>
      </c>
      <c r="D159" s="25">
        <v>83</v>
      </c>
      <c r="E159" t="str" cm="1">
        <f t="array" ref="E159">insertinto(A159:D159,$F$2:$G$5,"pr_Assignments_Results")</f>
        <v>insert into pr_Assignments_Results values ('20227092', 'T-21', '14-May-2023', 83);</v>
      </c>
      <c r="H159">
        <v>157</v>
      </c>
    </row>
    <row r="160" spans="1:8" x14ac:dyDescent="0.15">
      <c r="A160">
        <f t="shared" si="4"/>
        <v>20227092</v>
      </c>
      <c r="B160" t="str">
        <f t="shared" si="5"/>
        <v>T-22</v>
      </c>
      <c r="C160" s="32">
        <v>45072</v>
      </c>
      <c r="D160" s="25">
        <v>82</v>
      </c>
      <c r="E160" t="str" cm="1">
        <f t="array" ref="E160">insertinto(A160:D160,$F$2:$G$5,"pr_Assignments_Results")</f>
        <v>insert into pr_Assignments_Results values ('20227092', 'T-22', '26-May-2023', 82);</v>
      </c>
      <c r="H160">
        <v>158</v>
      </c>
    </row>
    <row r="161" spans="1:8" x14ac:dyDescent="0.15">
      <c r="A161">
        <f t="shared" si="4"/>
        <v>20227092</v>
      </c>
      <c r="B161" t="str">
        <f t="shared" si="5"/>
        <v>T-23</v>
      </c>
      <c r="C161" s="32">
        <v>45203</v>
      </c>
      <c r="D161" s="25">
        <v>76</v>
      </c>
      <c r="E161" t="str" cm="1">
        <f t="array" ref="E161">insertinto(A161:D161,$F$2:$G$5,"pr_Assignments_Results")</f>
        <v>insert into pr_Assignments_Results values ('20227092', 'T-23', '04-Oct-2023', 76);</v>
      </c>
      <c r="H161">
        <v>159</v>
      </c>
    </row>
    <row r="162" spans="1:8" x14ac:dyDescent="0.15">
      <c r="A162">
        <f t="shared" si="4"/>
        <v>20227092</v>
      </c>
      <c r="B162" t="str">
        <f t="shared" si="5"/>
        <v>T-24</v>
      </c>
      <c r="C162" s="32">
        <v>45230</v>
      </c>
      <c r="D162" s="25">
        <v>100</v>
      </c>
      <c r="E162" t="str" cm="1">
        <f t="array" ref="E162">insertinto(A162:D162,$F$2:$G$5,"pr_Assignments_Results")</f>
        <v>insert into pr_Assignments_Results values ('20227092', 'T-24', '31-Oct-2023', 100);</v>
      </c>
      <c r="H162">
        <v>160</v>
      </c>
    </row>
    <row r="163" spans="1:8" x14ac:dyDescent="0.15">
      <c r="A163">
        <f t="shared" si="4"/>
        <v>20227092</v>
      </c>
      <c r="B163" t="str">
        <f t="shared" si="5"/>
        <v>T-25</v>
      </c>
      <c r="C163" s="32">
        <v>44888</v>
      </c>
      <c r="D163" s="25">
        <v>96</v>
      </c>
      <c r="E163" t="str" cm="1">
        <f t="array" ref="E163">insertinto(A163:D163,$F$2:$G$5,"pr_Assignments_Results")</f>
        <v>insert into pr_Assignments_Results values ('20227092', 'T-25', '23-Nov-2022', 96);</v>
      </c>
      <c r="H163">
        <v>161</v>
      </c>
    </row>
    <row r="164" spans="1:8" x14ac:dyDescent="0.15">
      <c r="A164">
        <f t="shared" si="4"/>
        <v>20227092</v>
      </c>
      <c r="B164" t="str">
        <f t="shared" si="5"/>
        <v>T-26</v>
      </c>
      <c r="C164" s="32">
        <v>45213</v>
      </c>
      <c r="D164" s="25">
        <v>79</v>
      </c>
      <c r="E164" t="str" cm="1">
        <f t="array" ref="E164">insertinto(A164:D164,$F$2:$G$5,"pr_Assignments_Results")</f>
        <v>insert into pr_Assignments_Results values ('20227092', 'T-26', '14-Oct-2023', 79);</v>
      </c>
      <c r="H164">
        <v>162</v>
      </c>
    </row>
    <row r="165" spans="1:8" x14ac:dyDescent="0.15">
      <c r="A165">
        <f t="shared" si="4"/>
        <v>20227092</v>
      </c>
      <c r="B165" t="str">
        <f t="shared" si="5"/>
        <v>T-27</v>
      </c>
      <c r="C165" s="32">
        <v>45235</v>
      </c>
      <c r="D165" s="25">
        <v>78</v>
      </c>
      <c r="E165" t="str" cm="1">
        <f t="array" ref="E165">insertinto(A165:D165,$F$2:$G$5,"pr_Assignments_Results")</f>
        <v>insert into pr_Assignments_Results values ('20227092', 'T-27', '05-Nov-2023', 78);</v>
      </c>
      <c r="H165">
        <v>163</v>
      </c>
    </row>
    <row r="166" spans="1:8" x14ac:dyDescent="0.15">
      <c r="A166">
        <f t="shared" si="4"/>
        <v>20227092</v>
      </c>
      <c r="B166" t="str">
        <f t="shared" si="5"/>
        <v>T-28</v>
      </c>
      <c r="C166" s="32">
        <v>45266</v>
      </c>
      <c r="D166" s="25">
        <v>97</v>
      </c>
      <c r="E166" t="str" cm="1">
        <f t="array" ref="E166">insertinto(A166:D166,$F$2:$G$5,"pr_Assignments_Results")</f>
        <v>insert into pr_Assignments_Results values ('20227092', 'T-28', '06-Dec-2023', 97);</v>
      </c>
      <c r="H166">
        <v>164</v>
      </c>
    </row>
    <row r="167" spans="1:8" x14ac:dyDescent="0.15">
      <c r="A167">
        <f t="shared" si="4"/>
        <v>20227092</v>
      </c>
      <c r="B167" t="str">
        <f t="shared" si="5"/>
        <v>T-29</v>
      </c>
      <c r="C167" s="32">
        <v>44949</v>
      </c>
      <c r="D167" s="25">
        <v>73</v>
      </c>
      <c r="E167" t="str" cm="1">
        <f t="array" ref="E167">insertinto(A167:D167,$F$2:$G$5,"pr_Assignments_Results")</f>
        <v>insert into pr_Assignments_Results values ('20227092', 'T-29', '23-Jan-2023', 73);</v>
      </c>
      <c r="H167">
        <v>165</v>
      </c>
    </row>
    <row r="168" spans="1:8" x14ac:dyDescent="0.15">
      <c r="A168">
        <f t="shared" si="4"/>
        <v>20227092</v>
      </c>
      <c r="B168" t="str">
        <f t="shared" si="5"/>
        <v>T-30</v>
      </c>
      <c r="C168" s="32">
        <v>45215</v>
      </c>
      <c r="D168" s="25">
        <v>80</v>
      </c>
      <c r="E168" t="str" cm="1">
        <f t="array" ref="E168">insertinto(A168:D168,$F$2:$G$5,"pr_Assignments_Results")</f>
        <v>insert into pr_Assignments_Results values ('20227092', 'T-30', '16-Oct-2023', 80);</v>
      </c>
      <c r="H168">
        <v>166</v>
      </c>
    </row>
    <row r="169" spans="1:8" x14ac:dyDescent="0.15">
      <c r="A169">
        <f t="shared" si="4"/>
        <v>20227092</v>
      </c>
      <c r="B169" t="str">
        <f t="shared" si="5"/>
        <v>T-31</v>
      </c>
      <c r="C169" s="32">
        <v>45231</v>
      </c>
      <c r="D169" s="25">
        <v>97</v>
      </c>
      <c r="E169" t="str" cm="1">
        <f t="array" ref="E169">insertinto(A169:D169,$F$2:$G$5,"pr_Assignments_Results")</f>
        <v>insert into pr_Assignments_Results values ('20227092', 'T-31', '01-Nov-2023', 97);</v>
      </c>
      <c r="H169">
        <v>167</v>
      </c>
    </row>
    <row r="170" spans="1:8" x14ac:dyDescent="0.15">
      <c r="A170">
        <f t="shared" si="4"/>
        <v>20227092</v>
      </c>
      <c r="B170" t="str">
        <f t="shared" si="5"/>
        <v>T-32</v>
      </c>
      <c r="C170" s="32">
        <v>45242</v>
      </c>
      <c r="D170" s="25">
        <v>72</v>
      </c>
      <c r="E170" t="str" cm="1">
        <f t="array" ref="E170">insertinto(A170:D170,$F$2:$G$5,"pr_Assignments_Results")</f>
        <v>insert into pr_Assignments_Results values ('20227092', 'T-32', '12-Nov-2023', 72);</v>
      </c>
      <c r="H170">
        <v>168</v>
      </c>
    </row>
    <row r="171" spans="1:8" x14ac:dyDescent="0.15">
      <c r="A171">
        <f t="shared" si="4"/>
        <v>20227092</v>
      </c>
      <c r="B171" t="str">
        <f t="shared" si="5"/>
        <v>T-33</v>
      </c>
      <c r="C171" s="32">
        <v>45261</v>
      </c>
      <c r="D171" s="25">
        <v>94</v>
      </c>
      <c r="E171" t="str" cm="1">
        <f t="array" ref="E171">insertinto(A171:D171,$F$2:$G$5,"pr_Assignments_Results")</f>
        <v>insert into pr_Assignments_Results values ('20227092', 'T-33', '01-Dec-2023', 94);</v>
      </c>
      <c r="H171">
        <v>169</v>
      </c>
    </row>
    <row r="172" spans="1:8" x14ac:dyDescent="0.15">
      <c r="A172">
        <f t="shared" si="4"/>
        <v>20226184</v>
      </c>
      <c r="B172" t="str">
        <f t="shared" si="5"/>
        <v>T-00</v>
      </c>
      <c r="C172" s="32">
        <v>44843</v>
      </c>
      <c r="D172" s="25">
        <v>57</v>
      </c>
      <c r="E172" t="str" cm="1">
        <f t="array" ref="E172">insertinto(A172:D172,$F$2:$G$5,"pr_Assignments_Results")</f>
        <v>insert into pr_Assignments_Results values ('20226184', 'T-00', '09-Oct-2022', 57);</v>
      </c>
      <c r="H172">
        <v>170</v>
      </c>
    </row>
    <row r="173" spans="1:8" x14ac:dyDescent="0.15">
      <c r="A173">
        <f t="shared" si="4"/>
        <v>20226184</v>
      </c>
      <c r="B173" t="str">
        <f t="shared" si="5"/>
        <v>T-01</v>
      </c>
      <c r="C173" s="32">
        <v>44853</v>
      </c>
      <c r="D173" s="25">
        <v>60</v>
      </c>
      <c r="E173" t="str" cm="1">
        <f t="array" ref="E173">insertinto(A173:D173,$F$2:$G$5,"pr_Assignments_Results")</f>
        <v>insert into pr_Assignments_Results values ('20226184', 'T-01', '19-Oct-2022', 60);</v>
      </c>
      <c r="H173">
        <v>171</v>
      </c>
    </row>
    <row r="174" spans="1:8" x14ac:dyDescent="0.15">
      <c r="A174">
        <f t="shared" si="4"/>
        <v>20226184</v>
      </c>
      <c r="B174" t="str">
        <f t="shared" si="5"/>
        <v>T-02</v>
      </c>
      <c r="C174" s="32">
        <v>44872</v>
      </c>
      <c r="D174" s="25">
        <v>66</v>
      </c>
      <c r="E174" t="str" cm="1">
        <f t="array" ref="E174">insertinto(A174:D174,$F$2:$G$5,"pr_Assignments_Results")</f>
        <v>insert into pr_Assignments_Results values ('20226184', 'T-02', '07-Nov-2022', 66);</v>
      </c>
      <c r="H174">
        <v>172</v>
      </c>
    </row>
    <row r="175" spans="1:8" x14ac:dyDescent="0.15">
      <c r="A175">
        <f t="shared" si="4"/>
        <v>20226184</v>
      </c>
      <c r="B175" t="str">
        <f t="shared" si="5"/>
        <v>T-03</v>
      </c>
      <c r="C175" s="32">
        <v>44880</v>
      </c>
      <c r="D175" s="25">
        <v>66</v>
      </c>
      <c r="E175" t="str" cm="1">
        <f t="array" ref="E175">insertinto(A175:D175,$F$2:$G$5,"pr_Assignments_Results")</f>
        <v>insert into pr_Assignments_Results values ('20226184', 'T-03', '15-Nov-2022', 66);</v>
      </c>
      <c r="H175">
        <v>173</v>
      </c>
    </row>
    <row r="176" spans="1:8" x14ac:dyDescent="0.15">
      <c r="A176">
        <f t="shared" si="4"/>
        <v>20226184</v>
      </c>
      <c r="B176" t="str">
        <f t="shared" si="5"/>
        <v>T-04</v>
      </c>
      <c r="C176" s="32">
        <v>44849</v>
      </c>
      <c r="D176" s="25">
        <v>62</v>
      </c>
      <c r="E176" t="str" cm="1">
        <f t="array" ref="E176">insertinto(A176:D176,$F$2:$G$5,"pr_Assignments_Results")</f>
        <v>insert into pr_Assignments_Results values ('20226184', 'T-04', '15-Oct-2022', 62);</v>
      </c>
      <c r="H176">
        <v>174</v>
      </c>
    </row>
    <row r="177" spans="1:8" x14ac:dyDescent="0.15">
      <c r="A177">
        <f t="shared" si="4"/>
        <v>20226184</v>
      </c>
      <c r="B177" t="str">
        <f t="shared" si="5"/>
        <v>T-05</v>
      </c>
      <c r="C177" s="32">
        <v>44842</v>
      </c>
      <c r="D177" s="25">
        <v>58</v>
      </c>
      <c r="E177" t="str" cm="1">
        <f t="array" ref="E177">insertinto(A177:D177,$F$2:$G$5,"pr_Assignments_Results")</f>
        <v>insert into pr_Assignments_Results values ('20226184', 'T-05', '08-Oct-2022', 58);</v>
      </c>
      <c r="H177">
        <v>175</v>
      </c>
    </row>
    <row r="178" spans="1:8" x14ac:dyDescent="0.15">
      <c r="A178">
        <f t="shared" si="4"/>
        <v>20226184</v>
      </c>
      <c r="B178" t="str">
        <f t="shared" si="5"/>
        <v>T-06</v>
      </c>
      <c r="C178" s="32">
        <v>44890</v>
      </c>
      <c r="D178" s="25">
        <v>62</v>
      </c>
      <c r="E178" t="str" cm="1">
        <f t="array" ref="E178">insertinto(A178:D178,$F$2:$G$5,"pr_Assignments_Results")</f>
        <v>insert into pr_Assignments_Results values ('20226184', 'T-06', '25-Nov-2022', 62);</v>
      </c>
      <c r="H178">
        <v>176</v>
      </c>
    </row>
    <row r="179" spans="1:8" x14ac:dyDescent="0.15">
      <c r="A179">
        <f t="shared" si="4"/>
        <v>20226184</v>
      </c>
      <c r="B179" t="str">
        <f t="shared" si="5"/>
        <v>T-07</v>
      </c>
      <c r="C179" s="32">
        <v>44844</v>
      </c>
      <c r="D179" s="25">
        <v>74</v>
      </c>
      <c r="E179" t="str" cm="1">
        <f t="array" ref="E179">insertinto(A179:D179,$F$2:$G$5,"pr_Assignments_Results")</f>
        <v>insert into pr_Assignments_Results values ('20226184', 'T-07', '10-Oct-2022', 74);</v>
      </c>
      <c r="H179">
        <v>177</v>
      </c>
    </row>
    <row r="180" spans="1:8" x14ac:dyDescent="0.15">
      <c r="A180">
        <f t="shared" si="4"/>
        <v>20226184</v>
      </c>
      <c r="B180" t="str">
        <f t="shared" si="5"/>
        <v>T-08</v>
      </c>
      <c r="C180" s="32">
        <v>44852</v>
      </c>
      <c r="D180" s="25">
        <v>73</v>
      </c>
      <c r="E180" t="str" cm="1">
        <f t="array" ref="E180">insertinto(A180:D180,$F$2:$G$5,"pr_Assignments_Results")</f>
        <v>insert into pr_Assignments_Results values ('20226184', 'T-08', '18-Oct-2022', 73);</v>
      </c>
      <c r="H180">
        <v>178</v>
      </c>
    </row>
    <row r="181" spans="1:8" x14ac:dyDescent="0.15">
      <c r="A181">
        <f t="shared" si="4"/>
        <v>20226184</v>
      </c>
      <c r="B181" t="str">
        <f t="shared" si="5"/>
        <v>T-09</v>
      </c>
      <c r="C181" s="32">
        <v>44883</v>
      </c>
      <c r="D181" s="25">
        <v>66</v>
      </c>
      <c r="E181" t="str" cm="1">
        <f t="array" ref="E181">insertinto(A181:D181,$F$2:$G$5,"pr_Assignments_Results")</f>
        <v>insert into pr_Assignments_Results values ('20226184', 'T-09', '18-Nov-2022', 66);</v>
      </c>
      <c r="H181">
        <v>179</v>
      </c>
    </row>
    <row r="182" spans="1:8" x14ac:dyDescent="0.15">
      <c r="A182">
        <f t="shared" si="4"/>
        <v>20226184</v>
      </c>
      <c r="B182" t="str">
        <f t="shared" si="5"/>
        <v>T-10</v>
      </c>
      <c r="C182" s="32">
        <v>44894</v>
      </c>
      <c r="D182" s="25">
        <v>75</v>
      </c>
      <c r="E182" t="str" cm="1">
        <f t="array" ref="E182">insertinto(A182:D182,$F$2:$G$5,"pr_Assignments_Results")</f>
        <v>insert into pr_Assignments_Results values ('20226184', 'T-10', '29-Nov-2022', 75);</v>
      </c>
      <c r="H182">
        <v>180</v>
      </c>
    </row>
    <row r="183" spans="1:8" x14ac:dyDescent="0.15">
      <c r="A183">
        <f t="shared" si="4"/>
        <v>20226184</v>
      </c>
      <c r="B183" t="str">
        <f t="shared" si="5"/>
        <v>T-11</v>
      </c>
      <c r="C183" s="32">
        <v>44959</v>
      </c>
      <c r="D183" s="25">
        <v>57</v>
      </c>
      <c r="E183" t="str" cm="1">
        <f t="array" ref="E183">insertinto(A183:D183,$F$2:$G$5,"pr_Assignments_Results")</f>
        <v>insert into pr_Assignments_Results values ('20226184', 'T-11', '02-Feb-2023', 57);</v>
      </c>
      <c r="H183">
        <v>181</v>
      </c>
    </row>
    <row r="184" spans="1:8" x14ac:dyDescent="0.15">
      <c r="A184">
        <f t="shared" si="4"/>
        <v>20226184</v>
      </c>
      <c r="B184" t="str">
        <f t="shared" si="5"/>
        <v>T-12</v>
      </c>
      <c r="C184" s="32">
        <v>44971</v>
      </c>
      <c r="D184" s="25">
        <v>71</v>
      </c>
      <c r="E184" t="str" cm="1">
        <f t="array" ref="E184">insertinto(A184:D184,$F$2:$G$5,"pr_Assignments_Results")</f>
        <v>insert into pr_Assignments_Results values ('20226184', 'T-12', '14-Feb-2023', 71);</v>
      </c>
      <c r="H184">
        <v>182</v>
      </c>
    </row>
    <row r="185" spans="1:8" x14ac:dyDescent="0.15">
      <c r="A185">
        <f t="shared" si="4"/>
        <v>20226184</v>
      </c>
      <c r="B185" t="str">
        <f t="shared" si="5"/>
        <v>T-13</v>
      </c>
      <c r="C185" s="32">
        <v>44988</v>
      </c>
      <c r="D185" s="25">
        <v>59</v>
      </c>
      <c r="E185" t="str" cm="1">
        <f t="array" ref="E185">insertinto(A185:D185,$F$2:$G$5,"pr_Assignments_Results")</f>
        <v>insert into pr_Assignments_Results values ('20226184', 'T-13', '03-Mar-2023', 59);</v>
      </c>
      <c r="H185">
        <v>183</v>
      </c>
    </row>
    <row r="186" spans="1:8" x14ac:dyDescent="0.15">
      <c r="A186">
        <f t="shared" si="4"/>
        <v>20226184</v>
      </c>
      <c r="B186" t="str">
        <f t="shared" si="5"/>
        <v>T-14</v>
      </c>
      <c r="C186" s="32">
        <v>44995</v>
      </c>
      <c r="D186" s="25">
        <v>75</v>
      </c>
      <c r="E186" t="str" cm="1">
        <f t="array" ref="E186">insertinto(A186:D186,$F$2:$G$5,"pr_Assignments_Results")</f>
        <v>insert into pr_Assignments_Results values ('20226184', 'T-14', '10-Mar-2023', 75);</v>
      </c>
      <c r="H186">
        <v>184</v>
      </c>
    </row>
    <row r="187" spans="1:8" x14ac:dyDescent="0.15">
      <c r="A187">
        <f t="shared" si="4"/>
        <v>20226184</v>
      </c>
      <c r="B187" t="str">
        <f t="shared" si="5"/>
        <v>T-15</v>
      </c>
      <c r="C187" s="32">
        <v>44956</v>
      </c>
      <c r="D187" s="25">
        <v>68</v>
      </c>
      <c r="E187" t="str" cm="1">
        <f t="array" ref="E187">insertinto(A187:D187,$F$2:$G$5,"pr_Assignments_Results")</f>
        <v>insert into pr_Assignments_Results values ('20226184', 'T-15', '30-Jan-2023', 68);</v>
      </c>
      <c r="H187">
        <v>185</v>
      </c>
    </row>
    <row r="188" spans="1:8" x14ac:dyDescent="0.15">
      <c r="A188">
        <f t="shared" si="4"/>
        <v>20226184</v>
      </c>
      <c r="B188" t="str">
        <f t="shared" si="5"/>
        <v>T-16</v>
      </c>
      <c r="C188" s="32">
        <v>44969</v>
      </c>
      <c r="D188" s="25">
        <v>76</v>
      </c>
      <c r="E188" t="str" cm="1">
        <f t="array" ref="E188">insertinto(A188:D188,$F$2:$G$5,"pr_Assignments_Results")</f>
        <v>insert into pr_Assignments_Results values ('20226184', 'T-16', '12-Feb-2023', 76);</v>
      </c>
      <c r="H188">
        <v>186</v>
      </c>
    </row>
    <row r="189" spans="1:8" x14ac:dyDescent="0.15">
      <c r="A189">
        <f t="shared" si="4"/>
        <v>20226184</v>
      </c>
      <c r="B189" t="str">
        <f t="shared" si="5"/>
        <v>T-17</v>
      </c>
      <c r="C189" s="32">
        <v>44985</v>
      </c>
      <c r="D189" s="25">
        <v>74</v>
      </c>
      <c r="E189" t="str" cm="1">
        <f t="array" ref="E189">insertinto(A189:D189,$F$2:$G$5,"pr_Assignments_Results")</f>
        <v>insert into pr_Assignments_Results values ('20226184', 'T-17', '28-Feb-2023', 74);</v>
      </c>
      <c r="H189">
        <v>187</v>
      </c>
    </row>
    <row r="190" spans="1:8" x14ac:dyDescent="0.15">
      <c r="A190">
        <f t="shared" si="4"/>
        <v>20226184</v>
      </c>
      <c r="B190" t="str">
        <f t="shared" si="5"/>
        <v>T-18</v>
      </c>
      <c r="C190" s="32">
        <v>44963</v>
      </c>
      <c r="D190" s="25">
        <v>61</v>
      </c>
      <c r="E190" t="str" cm="1">
        <f t="array" ref="E190">insertinto(A190:D190,$F$2:$G$5,"pr_Assignments_Results")</f>
        <v>insert into pr_Assignments_Results values ('20226184', 'T-18', '06-Feb-2023', 61);</v>
      </c>
      <c r="H190">
        <v>188</v>
      </c>
    </row>
    <row r="191" spans="1:8" x14ac:dyDescent="0.15">
      <c r="A191">
        <f t="shared" si="4"/>
        <v>20226184</v>
      </c>
      <c r="B191" t="str">
        <f t="shared" si="5"/>
        <v>T-19</v>
      </c>
      <c r="C191" s="32">
        <v>45047</v>
      </c>
      <c r="D191" s="25">
        <v>71</v>
      </c>
      <c r="E191" t="str" cm="1">
        <f t="array" ref="E191">insertinto(A191:D191,$F$2:$G$5,"pr_Assignments_Results")</f>
        <v>insert into pr_Assignments_Results values ('20226184', 'T-19', '01-May-2023', 71);</v>
      </c>
      <c r="H191">
        <v>189</v>
      </c>
    </row>
    <row r="192" spans="1:8" x14ac:dyDescent="0.15">
      <c r="A192">
        <f t="shared" si="4"/>
        <v>20226184</v>
      </c>
      <c r="B192" t="str">
        <f t="shared" si="5"/>
        <v>T-20</v>
      </c>
      <c r="C192" s="32">
        <v>45052</v>
      </c>
      <c r="D192" s="25">
        <v>55</v>
      </c>
      <c r="E192" t="str" cm="1">
        <f t="array" ref="E192">insertinto(A192:D192,$F$2:$G$5,"pr_Assignments_Results")</f>
        <v>insert into pr_Assignments_Results values ('20226184', 'T-20', '06-May-2023', 55);</v>
      </c>
      <c r="H192">
        <v>190</v>
      </c>
    </row>
    <row r="193" spans="1:8" x14ac:dyDescent="0.15">
      <c r="A193">
        <f t="shared" si="4"/>
        <v>20226184</v>
      </c>
      <c r="B193" t="str">
        <f t="shared" si="5"/>
        <v>T-21</v>
      </c>
      <c r="C193" s="32">
        <v>45063</v>
      </c>
      <c r="D193" s="25">
        <v>73</v>
      </c>
      <c r="E193" t="str" cm="1">
        <f t="array" ref="E193">insertinto(A193:D193,$F$2:$G$5,"pr_Assignments_Results")</f>
        <v>insert into pr_Assignments_Results values ('20226184', 'T-21', '17-May-2023', 73);</v>
      </c>
      <c r="H193">
        <v>191</v>
      </c>
    </row>
    <row r="194" spans="1:8" x14ac:dyDescent="0.15">
      <c r="A194">
        <f t="shared" ref="A194:A257" si="6">INDEX($I$2:$I$51,INT(H194/34)+1)</f>
        <v>20226184</v>
      </c>
      <c r="B194" t="str">
        <f t="shared" ref="B194:B257" si="7">INDEX($J$2:$J$35,MOD(H194,34)+1)</f>
        <v>T-22</v>
      </c>
      <c r="C194" s="32">
        <v>45072</v>
      </c>
      <c r="D194" s="25">
        <v>62</v>
      </c>
      <c r="E194" t="str" cm="1">
        <f t="array" ref="E194">insertinto(A194:D194,$F$2:$G$5,"pr_Assignments_Results")</f>
        <v>insert into pr_Assignments_Results values ('20226184', 'T-22', '26-May-2023', 62);</v>
      </c>
      <c r="H194">
        <v>192</v>
      </c>
    </row>
    <row r="195" spans="1:8" x14ac:dyDescent="0.15">
      <c r="A195">
        <f t="shared" si="6"/>
        <v>20226184</v>
      </c>
      <c r="B195" t="str">
        <f t="shared" si="7"/>
        <v>T-23</v>
      </c>
      <c r="C195" s="32">
        <v>45206</v>
      </c>
      <c r="D195" s="25">
        <v>73</v>
      </c>
      <c r="E195" t="str" cm="1">
        <f t="array" ref="E195">insertinto(A195:D195,$F$2:$G$5,"pr_Assignments_Results")</f>
        <v>insert into pr_Assignments_Results values ('20226184', 'T-23', '07-Oct-2023', 73);</v>
      </c>
      <c r="H195">
        <v>193</v>
      </c>
    </row>
    <row r="196" spans="1:8" x14ac:dyDescent="0.15">
      <c r="A196">
        <f t="shared" si="6"/>
        <v>20226184</v>
      </c>
      <c r="B196" t="str">
        <f t="shared" si="7"/>
        <v>T-24</v>
      </c>
      <c r="C196" s="32">
        <v>45226</v>
      </c>
      <c r="D196" s="25">
        <v>60</v>
      </c>
      <c r="E196" t="str" cm="1">
        <f t="array" ref="E196">insertinto(A196:D196,$F$2:$G$5,"pr_Assignments_Results")</f>
        <v>insert into pr_Assignments_Results values ('20226184', 'T-24', '27-Oct-2023', 60);</v>
      </c>
      <c r="H196">
        <v>194</v>
      </c>
    </row>
    <row r="197" spans="1:8" x14ac:dyDescent="0.15">
      <c r="A197">
        <f t="shared" si="6"/>
        <v>20226184</v>
      </c>
      <c r="B197" t="str">
        <f t="shared" si="7"/>
        <v>T-25</v>
      </c>
      <c r="C197" s="32">
        <v>44888</v>
      </c>
      <c r="D197" s="25">
        <v>76</v>
      </c>
      <c r="E197" t="str" cm="1">
        <f t="array" ref="E197">insertinto(A197:D197,$F$2:$G$5,"pr_Assignments_Results")</f>
        <v>insert into pr_Assignments_Results values ('20226184', 'T-25', '23-Nov-2022', 76);</v>
      </c>
      <c r="H197">
        <v>195</v>
      </c>
    </row>
    <row r="198" spans="1:8" x14ac:dyDescent="0.15">
      <c r="A198">
        <f t="shared" si="6"/>
        <v>20226184</v>
      </c>
      <c r="B198" t="str">
        <f t="shared" si="7"/>
        <v>T-26</v>
      </c>
      <c r="C198" s="32">
        <v>45214</v>
      </c>
      <c r="D198" s="25">
        <v>63</v>
      </c>
      <c r="E198" t="str" cm="1">
        <f t="array" ref="E198">insertinto(A198:D198,$F$2:$G$5,"pr_Assignments_Results")</f>
        <v>insert into pr_Assignments_Results values ('20226184', 'T-26', '15-Oct-2023', 63);</v>
      </c>
      <c r="H198">
        <v>196</v>
      </c>
    </row>
    <row r="199" spans="1:8" x14ac:dyDescent="0.15">
      <c r="A199">
        <f t="shared" si="6"/>
        <v>20226184</v>
      </c>
      <c r="B199" t="str">
        <f t="shared" si="7"/>
        <v>T-27</v>
      </c>
      <c r="C199" s="32">
        <v>45236</v>
      </c>
      <c r="D199" s="25">
        <v>67</v>
      </c>
      <c r="E199" t="str" cm="1">
        <f t="array" ref="E199">insertinto(A199:D199,$F$2:$G$5,"pr_Assignments_Results")</f>
        <v>insert into pr_Assignments_Results values ('20226184', 'T-27', '06-Nov-2023', 67);</v>
      </c>
      <c r="H199">
        <v>197</v>
      </c>
    </row>
    <row r="200" spans="1:8" x14ac:dyDescent="0.15">
      <c r="A200">
        <f t="shared" si="6"/>
        <v>20226184</v>
      </c>
      <c r="B200" t="str">
        <f t="shared" si="7"/>
        <v>T-28</v>
      </c>
      <c r="C200" s="32">
        <v>45260</v>
      </c>
      <c r="D200" s="25">
        <v>57</v>
      </c>
      <c r="E200" t="str" cm="1">
        <f t="array" ref="E200">insertinto(A200:D200,$F$2:$G$5,"pr_Assignments_Results")</f>
        <v>insert into pr_Assignments_Results values ('20226184', 'T-28', '30-Nov-2023', 57);</v>
      </c>
      <c r="H200">
        <v>198</v>
      </c>
    </row>
    <row r="201" spans="1:8" x14ac:dyDescent="0.15">
      <c r="A201">
        <f t="shared" si="6"/>
        <v>20226184</v>
      </c>
      <c r="B201" t="str">
        <f t="shared" si="7"/>
        <v>T-29</v>
      </c>
      <c r="C201" s="32">
        <v>44951</v>
      </c>
      <c r="D201" s="25">
        <v>69</v>
      </c>
      <c r="E201" t="str" cm="1">
        <f t="array" ref="E201">insertinto(A201:D201,$F$2:$G$5,"pr_Assignments_Results")</f>
        <v>insert into pr_Assignments_Results values ('20226184', 'T-29', '25-Jan-2023', 69);</v>
      </c>
      <c r="H201">
        <v>199</v>
      </c>
    </row>
    <row r="202" spans="1:8" x14ac:dyDescent="0.15">
      <c r="A202">
        <f t="shared" si="6"/>
        <v>20226184</v>
      </c>
      <c r="B202" t="str">
        <f t="shared" si="7"/>
        <v>T-30</v>
      </c>
      <c r="C202" s="32">
        <v>45212</v>
      </c>
      <c r="D202" s="25">
        <v>72</v>
      </c>
      <c r="E202" t="str" cm="1">
        <f t="array" ref="E202">insertinto(A202:D202,$F$2:$G$5,"pr_Assignments_Results")</f>
        <v>insert into pr_Assignments_Results values ('20226184', 'T-30', '13-Oct-2023', 72);</v>
      </c>
      <c r="H202">
        <v>200</v>
      </c>
    </row>
    <row r="203" spans="1:8" x14ac:dyDescent="0.15">
      <c r="A203">
        <f t="shared" si="6"/>
        <v>20226184</v>
      </c>
      <c r="B203" t="str">
        <f t="shared" si="7"/>
        <v>T-31</v>
      </c>
      <c r="C203" s="32">
        <v>45226</v>
      </c>
      <c r="D203" s="25">
        <v>67</v>
      </c>
      <c r="E203" t="str" cm="1">
        <f t="array" ref="E203">insertinto(A203:D203,$F$2:$G$5,"pr_Assignments_Results")</f>
        <v>insert into pr_Assignments_Results values ('20226184', 'T-31', '27-Oct-2023', 67);</v>
      </c>
      <c r="H203">
        <v>201</v>
      </c>
    </row>
    <row r="204" spans="1:8" x14ac:dyDescent="0.15">
      <c r="A204">
        <f t="shared" si="6"/>
        <v>20226184</v>
      </c>
      <c r="B204" t="str">
        <f t="shared" si="7"/>
        <v>T-32</v>
      </c>
      <c r="C204" s="32">
        <v>45248</v>
      </c>
      <c r="D204" s="25">
        <v>62</v>
      </c>
      <c r="E204" t="str" cm="1">
        <f t="array" ref="E204">insertinto(A204:D204,$F$2:$G$5,"pr_Assignments_Results")</f>
        <v>insert into pr_Assignments_Results values ('20226184', 'T-32', '18-Nov-2023', 62);</v>
      </c>
      <c r="H204">
        <v>202</v>
      </c>
    </row>
    <row r="205" spans="1:8" x14ac:dyDescent="0.15">
      <c r="A205">
        <f t="shared" si="6"/>
        <v>20226184</v>
      </c>
      <c r="B205" t="str">
        <f t="shared" si="7"/>
        <v>T-33</v>
      </c>
      <c r="C205" s="32">
        <v>45261</v>
      </c>
      <c r="D205" s="25">
        <v>63</v>
      </c>
      <c r="E205" t="str" cm="1">
        <f t="array" ref="E205">insertinto(A205:D205,$F$2:$G$5,"pr_Assignments_Results")</f>
        <v>insert into pr_Assignments_Results values ('20226184', 'T-33', '01-Dec-2023', 63);</v>
      </c>
      <c r="H205">
        <v>203</v>
      </c>
    </row>
    <row r="206" spans="1:8" x14ac:dyDescent="0.15">
      <c r="A206">
        <f t="shared" si="6"/>
        <v>20229558</v>
      </c>
      <c r="B206" t="str">
        <f t="shared" si="7"/>
        <v>T-00</v>
      </c>
      <c r="C206" s="32">
        <v>44843</v>
      </c>
      <c r="D206" s="25">
        <v>69</v>
      </c>
      <c r="E206" t="str" cm="1">
        <f t="array" ref="E206">insertinto(A206:D206,$F$2:$G$5,"pr_Assignments_Results")</f>
        <v>insert into pr_Assignments_Results values ('20229558', 'T-00', '09-Oct-2022', 69);</v>
      </c>
      <c r="H206">
        <v>204</v>
      </c>
    </row>
    <row r="207" spans="1:8" x14ac:dyDescent="0.15">
      <c r="A207">
        <f t="shared" si="6"/>
        <v>20229558</v>
      </c>
      <c r="B207" t="str">
        <f t="shared" si="7"/>
        <v>T-01</v>
      </c>
      <c r="C207" s="32">
        <v>44854</v>
      </c>
      <c r="D207" s="25">
        <v>66</v>
      </c>
      <c r="E207" t="str" cm="1">
        <f t="array" ref="E207">insertinto(A207:D207,$F$2:$G$5,"pr_Assignments_Results")</f>
        <v>insert into pr_Assignments_Results values ('20229558', 'T-01', '20-Oct-2022', 66);</v>
      </c>
      <c r="H207">
        <v>205</v>
      </c>
    </row>
    <row r="208" spans="1:8" x14ac:dyDescent="0.15">
      <c r="A208">
        <f t="shared" si="6"/>
        <v>20229558</v>
      </c>
      <c r="B208" t="str">
        <f t="shared" si="7"/>
        <v>T-02</v>
      </c>
      <c r="C208" s="32">
        <v>44875</v>
      </c>
      <c r="D208" s="25">
        <v>59</v>
      </c>
      <c r="E208" t="str" cm="1">
        <f t="array" ref="E208">insertinto(A208:D208,$F$2:$G$5,"pr_Assignments_Results")</f>
        <v>insert into pr_Assignments_Results values ('20229558', 'T-02', '10-Nov-2022', 59);</v>
      </c>
      <c r="H208">
        <v>206</v>
      </c>
    </row>
    <row r="209" spans="1:8" x14ac:dyDescent="0.15">
      <c r="A209">
        <f t="shared" si="6"/>
        <v>20229558</v>
      </c>
      <c r="B209" t="str">
        <f t="shared" si="7"/>
        <v>T-03</v>
      </c>
      <c r="C209" s="32">
        <v>44881</v>
      </c>
      <c r="D209" s="25">
        <v>57</v>
      </c>
      <c r="E209" t="str" cm="1">
        <f t="array" ref="E209">insertinto(A209:D209,$F$2:$G$5,"pr_Assignments_Results")</f>
        <v>insert into pr_Assignments_Results values ('20229558', 'T-03', '16-Nov-2022', 57);</v>
      </c>
      <c r="H209">
        <v>207</v>
      </c>
    </row>
    <row r="210" spans="1:8" x14ac:dyDescent="0.15">
      <c r="A210">
        <f t="shared" si="6"/>
        <v>20229558</v>
      </c>
      <c r="B210" t="str">
        <f t="shared" si="7"/>
        <v>T-04</v>
      </c>
      <c r="C210" s="32">
        <v>44851</v>
      </c>
      <c r="D210" s="25">
        <v>64</v>
      </c>
      <c r="E210" t="str" cm="1">
        <f t="array" ref="E210">insertinto(A210:D210,$F$2:$G$5,"pr_Assignments_Results")</f>
        <v>insert into pr_Assignments_Results values ('20229558', 'T-04', '17-Oct-2022', 64);</v>
      </c>
      <c r="H210">
        <v>208</v>
      </c>
    </row>
    <row r="211" spans="1:8" x14ac:dyDescent="0.15">
      <c r="A211">
        <f t="shared" si="6"/>
        <v>20229558</v>
      </c>
      <c r="B211" t="str">
        <f t="shared" si="7"/>
        <v>T-05</v>
      </c>
      <c r="C211" s="32">
        <v>44839</v>
      </c>
      <c r="D211" s="25">
        <v>65</v>
      </c>
      <c r="E211" t="str" cm="1">
        <f t="array" ref="E211">insertinto(A211:D211,$F$2:$G$5,"pr_Assignments_Results")</f>
        <v>insert into pr_Assignments_Results values ('20229558', 'T-05', '05-Oct-2022', 65);</v>
      </c>
      <c r="H211">
        <v>209</v>
      </c>
    </row>
    <row r="212" spans="1:8" x14ac:dyDescent="0.15">
      <c r="A212">
        <f t="shared" si="6"/>
        <v>20229558</v>
      </c>
      <c r="B212" t="str">
        <f t="shared" si="7"/>
        <v>T-06</v>
      </c>
      <c r="C212" s="32">
        <v>44891</v>
      </c>
      <c r="D212" s="25">
        <v>58</v>
      </c>
      <c r="E212" t="str" cm="1">
        <f t="array" ref="E212">insertinto(A212:D212,$F$2:$G$5,"pr_Assignments_Results")</f>
        <v>insert into pr_Assignments_Results values ('20229558', 'T-06', '26-Nov-2022', 58);</v>
      </c>
      <c r="H212">
        <v>210</v>
      </c>
    </row>
    <row r="213" spans="1:8" x14ac:dyDescent="0.15">
      <c r="A213">
        <f t="shared" si="6"/>
        <v>20229558</v>
      </c>
      <c r="B213" t="str">
        <f t="shared" si="7"/>
        <v>T-07</v>
      </c>
      <c r="C213" s="32">
        <v>44842</v>
      </c>
      <c r="D213" s="25">
        <v>66</v>
      </c>
      <c r="E213" t="str" cm="1">
        <f t="array" ref="E213">insertinto(A213:D213,$F$2:$G$5,"pr_Assignments_Results")</f>
        <v>insert into pr_Assignments_Results values ('20229558', 'T-07', '08-Oct-2022', 66);</v>
      </c>
      <c r="H213">
        <v>211</v>
      </c>
    </row>
    <row r="214" spans="1:8" x14ac:dyDescent="0.15">
      <c r="A214">
        <f t="shared" si="6"/>
        <v>20229558</v>
      </c>
      <c r="B214" t="str">
        <f t="shared" si="7"/>
        <v>T-08</v>
      </c>
      <c r="C214" s="32">
        <v>44853</v>
      </c>
      <c r="D214" s="25">
        <v>68</v>
      </c>
      <c r="E214" t="str" cm="1">
        <f t="array" ref="E214">insertinto(A214:D214,$F$2:$G$5,"pr_Assignments_Results")</f>
        <v>insert into pr_Assignments_Results values ('20229558', 'T-08', '19-Oct-2022', 68);</v>
      </c>
      <c r="H214">
        <v>212</v>
      </c>
    </row>
    <row r="215" spans="1:8" x14ac:dyDescent="0.15">
      <c r="A215">
        <f t="shared" si="6"/>
        <v>20229558</v>
      </c>
      <c r="B215" t="str">
        <f t="shared" si="7"/>
        <v>T-09</v>
      </c>
      <c r="C215" s="32">
        <v>44883</v>
      </c>
      <c r="D215" s="25">
        <v>66</v>
      </c>
      <c r="E215" t="str" cm="1">
        <f t="array" ref="E215">insertinto(A215:D215,$F$2:$G$5,"pr_Assignments_Results")</f>
        <v>insert into pr_Assignments_Results values ('20229558', 'T-09', '18-Nov-2022', 66);</v>
      </c>
      <c r="H215">
        <v>213</v>
      </c>
    </row>
    <row r="216" spans="1:8" x14ac:dyDescent="0.15">
      <c r="A216">
        <f t="shared" si="6"/>
        <v>20229558</v>
      </c>
      <c r="B216" t="str">
        <f t="shared" si="7"/>
        <v>T-10</v>
      </c>
      <c r="C216" s="32">
        <v>44891</v>
      </c>
      <c r="D216" s="25">
        <v>68</v>
      </c>
      <c r="E216" t="str" cm="1">
        <f t="array" ref="E216">insertinto(A216:D216,$F$2:$G$5,"pr_Assignments_Results")</f>
        <v>insert into pr_Assignments_Results values ('20229558', 'T-10', '26-Nov-2022', 68);</v>
      </c>
      <c r="H216">
        <v>214</v>
      </c>
    </row>
    <row r="217" spans="1:8" x14ac:dyDescent="0.15">
      <c r="A217">
        <f t="shared" si="6"/>
        <v>20229558</v>
      </c>
      <c r="B217" t="str">
        <f t="shared" si="7"/>
        <v>T-11</v>
      </c>
      <c r="C217" s="32">
        <v>44959</v>
      </c>
      <c r="D217" s="25">
        <v>59</v>
      </c>
      <c r="E217" t="str" cm="1">
        <f t="array" ref="E217">insertinto(A217:D217,$F$2:$G$5,"pr_Assignments_Results")</f>
        <v>insert into pr_Assignments_Results values ('20229558', 'T-11', '02-Feb-2023', 59);</v>
      </c>
      <c r="H217">
        <v>215</v>
      </c>
    </row>
    <row r="218" spans="1:8" x14ac:dyDescent="0.15">
      <c r="A218">
        <f t="shared" si="6"/>
        <v>20229558</v>
      </c>
      <c r="B218" t="str">
        <f t="shared" si="7"/>
        <v>T-12</v>
      </c>
      <c r="C218" s="32">
        <v>44973</v>
      </c>
      <c r="D218" s="25">
        <v>58</v>
      </c>
      <c r="E218" t="str" cm="1">
        <f t="array" ref="E218">insertinto(A218:D218,$F$2:$G$5,"pr_Assignments_Results")</f>
        <v>insert into pr_Assignments_Results values ('20229558', 'T-12', '16-Feb-2023', 58);</v>
      </c>
      <c r="H218">
        <v>216</v>
      </c>
    </row>
    <row r="219" spans="1:8" x14ac:dyDescent="0.15">
      <c r="A219">
        <f t="shared" si="6"/>
        <v>20229558</v>
      </c>
      <c r="B219" t="str">
        <f t="shared" si="7"/>
        <v>T-13</v>
      </c>
      <c r="C219" s="32">
        <v>44982</v>
      </c>
      <c r="D219" s="25">
        <v>63</v>
      </c>
      <c r="E219" t="str" cm="1">
        <f t="array" ref="E219">insertinto(A219:D219,$F$2:$G$5,"pr_Assignments_Results")</f>
        <v>insert into pr_Assignments_Results values ('20229558', 'T-13', '25-Feb-2023', 63);</v>
      </c>
      <c r="H219">
        <v>217</v>
      </c>
    </row>
    <row r="220" spans="1:8" x14ac:dyDescent="0.15">
      <c r="A220">
        <f t="shared" si="6"/>
        <v>20229558</v>
      </c>
      <c r="B220" t="str">
        <f t="shared" si="7"/>
        <v>T-14</v>
      </c>
      <c r="C220" s="32">
        <v>44993</v>
      </c>
      <c r="D220" s="25">
        <v>64</v>
      </c>
      <c r="E220" t="str" cm="1">
        <f t="array" ref="E220">insertinto(A220:D220,$F$2:$G$5,"pr_Assignments_Results")</f>
        <v>insert into pr_Assignments_Results values ('20229558', 'T-14', '08-Mar-2023', 64);</v>
      </c>
      <c r="H220">
        <v>218</v>
      </c>
    </row>
    <row r="221" spans="1:8" x14ac:dyDescent="0.15">
      <c r="A221">
        <f t="shared" si="6"/>
        <v>20229558</v>
      </c>
      <c r="B221" t="str">
        <f t="shared" si="7"/>
        <v>T-15</v>
      </c>
      <c r="C221" s="32">
        <v>44957</v>
      </c>
      <c r="D221" s="25">
        <v>73</v>
      </c>
      <c r="E221" t="str" cm="1">
        <f t="array" ref="E221">insertinto(A221:D221,$F$2:$G$5,"pr_Assignments_Results")</f>
        <v>insert into pr_Assignments_Results values ('20229558', 'T-15', '31-Jan-2023', 73);</v>
      </c>
      <c r="H221">
        <v>219</v>
      </c>
    </row>
    <row r="222" spans="1:8" x14ac:dyDescent="0.15">
      <c r="A222">
        <f t="shared" si="6"/>
        <v>20229558</v>
      </c>
      <c r="B222" t="str">
        <f t="shared" si="7"/>
        <v>T-16</v>
      </c>
      <c r="C222" s="32">
        <v>44973</v>
      </c>
      <c r="D222" s="25">
        <v>65</v>
      </c>
      <c r="E222" t="str" cm="1">
        <f t="array" ref="E222">insertinto(A222:D222,$F$2:$G$5,"pr_Assignments_Results")</f>
        <v>insert into pr_Assignments_Results values ('20229558', 'T-16', '16-Feb-2023', 65);</v>
      </c>
      <c r="H222">
        <v>220</v>
      </c>
    </row>
    <row r="223" spans="1:8" x14ac:dyDescent="0.15">
      <c r="A223">
        <f t="shared" si="6"/>
        <v>20229558</v>
      </c>
      <c r="B223" t="str">
        <f t="shared" si="7"/>
        <v>T-17</v>
      </c>
      <c r="C223" s="32">
        <v>44986</v>
      </c>
      <c r="D223" s="25">
        <v>73</v>
      </c>
      <c r="E223" t="str" cm="1">
        <f t="array" ref="E223">insertinto(A223:D223,$F$2:$G$5,"pr_Assignments_Results")</f>
        <v>insert into pr_Assignments_Results values ('20229558', 'T-17', '01-Mar-2023', 73);</v>
      </c>
      <c r="H223">
        <v>221</v>
      </c>
    </row>
    <row r="224" spans="1:8" x14ac:dyDescent="0.15">
      <c r="A224">
        <f t="shared" si="6"/>
        <v>20229558</v>
      </c>
      <c r="B224" t="str">
        <f t="shared" si="7"/>
        <v>T-18</v>
      </c>
      <c r="C224" s="32">
        <v>44965</v>
      </c>
      <c r="D224" s="25">
        <v>70</v>
      </c>
      <c r="E224" t="str" cm="1">
        <f t="array" ref="E224">insertinto(A224:D224,$F$2:$G$5,"pr_Assignments_Results")</f>
        <v>insert into pr_Assignments_Results values ('20229558', 'T-18', '08-Feb-2023', 70);</v>
      </c>
      <c r="H224">
        <v>222</v>
      </c>
    </row>
    <row r="225" spans="1:8" x14ac:dyDescent="0.15">
      <c r="A225">
        <f t="shared" si="6"/>
        <v>20229558</v>
      </c>
      <c r="B225" t="str">
        <f t="shared" si="7"/>
        <v>T-19</v>
      </c>
      <c r="C225" s="32">
        <v>45043</v>
      </c>
      <c r="D225" s="25">
        <v>62</v>
      </c>
      <c r="E225" t="str" cm="1">
        <f t="array" ref="E225">insertinto(A225:D225,$F$2:$G$5,"pr_Assignments_Results")</f>
        <v>insert into pr_Assignments_Results values ('20229558', 'T-19', '27-Apr-2023', 62);</v>
      </c>
      <c r="H225">
        <v>223</v>
      </c>
    </row>
    <row r="226" spans="1:8" x14ac:dyDescent="0.15">
      <c r="A226">
        <f t="shared" si="6"/>
        <v>20229558</v>
      </c>
      <c r="B226" t="str">
        <f t="shared" si="7"/>
        <v>T-20</v>
      </c>
      <c r="C226" s="32">
        <v>45053</v>
      </c>
      <c r="D226" s="25">
        <v>60</v>
      </c>
      <c r="E226" t="str" cm="1">
        <f t="array" ref="E226">insertinto(A226:D226,$F$2:$G$5,"pr_Assignments_Results")</f>
        <v>insert into pr_Assignments_Results values ('20229558', 'T-20', '07-May-2023', 60);</v>
      </c>
      <c r="H226">
        <v>224</v>
      </c>
    </row>
    <row r="227" spans="1:8" x14ac:dyDescent="0.15">
      <c r="A227">
        <f t="shared" si="6"/>
        <v>20229558</v>
      </c>
      <c r="B227" t="str">
        <f t="shared" si="7"/>
        <v>T-21</v>
      </c>
      <c r="C227" s="32">
        <v>45059</v>
      </c>
      <c r="D227" s="25">
        <v>76</v>
      </c>
      <c r="E227" t="str" cm="1">
        <f t="array" ref="E227">insertinto(A227:D227,$F$2:$G$5,"pr_Assignments_Results")</f>
        <v>insert into pr_Assignments_Results values ('20229558', 'T-21', '13-May-2023', 76);</v>
      </c>
      <c r="H227">
        <v>225</v>
      </c>
    </row>
    <row r="228" spans="1:8" x14ac:dyDescent="0.15">
      <c r="A228">
        <f t="shared" si="6"/>
        <v>20229558</v>
      </c>
      <c r="B228" t="str">
        <f t="shared" si="7"/>
        <v>T-22</v>
      </c>
      <c r="C228" s="32">
        <v>45077</v>
      </c>
      <c r="D228" s="25">
        <v>70</v>
      </c>
      <c r="E228" t="str" cm="1">
        <f t="array" ref="E228">insertinto(A228:D228,$F$2:$G$5,"pr_Assignments_Results")</f>
        <v>insert into pr_Assignments_Results values ('20229558', 'T-22', '31-May-2023', 70);</v>
      </c>
      <c r="H228">
        <v>226</v>
      </c>
    </row>
    <row r="229" spans="1:8" x14ac:dyDescent="0.15">
      <c r="A229">
        <f t="shared" si="6"/>
        <v>20229558</v>
      </c>
      <c r="B229" t="str">
        <f t="shared" si="7"/>
        <v>T-23</v>
      </c>
      <c r="C229" s="32">
        <v>45204</v>
      </c>
      <c r="D229" s="25">
        <v>70</v>
      </c>
      <c r="E229" t="str" cm="1">
        <f t="array" ref="E229">insertinto(A229:D229,$F$2:$G$5,"pr_Assignments_Results")</f>
        <v>insert into pr_Assignments_Results values ('20229558', 'T-23', '05-Oct-2023', 70);</v>
      </c>
      <c r="H229">
        <v>227</v>
      </c>
    </row>
    <row r="230" spans="1:8" x14ac:dyDescent="0.15">
      <c r="A230">
        <f t="shared" si="6"/>
        <v>20229558</v>
      </c>
      <c r="B230" t="str">
        <f t="shared" si="7"/>
        <v>T-24</v>
      </c>
      <c r="C230" s="32">
        <v>45229</v>
      </c>
      <c r="D230" s="25">
        <v>68</v>
      </c>
      <c r="E230" t="str" cm="1">
        <f t="array" ref="E230">insertinto(A230:D230,$F$2:$G$5,"pr_Assignments_Results")</f>
        <v>insert into pr_Assignments_Results values ('20229558', 'T-24', '30-Oct-2023', 68);</v>
      </c>
      <c r="H230">
        <v>228</v>
      </c>
    </row>
    <row r="231" spans="1:8" x14ac:dyDescent="0.15">
      <c r="A231">
        <f t="shared" si="6"/>
        <v>20229558</v>
      </c>
      <c r="B231" t="str">
        <f t="shared" si="7"/>
        <v>T-25</v>
      </c>
      <c r="C231" s="32">
        <v>44892</v>
      </c>
      <c r="D231" s="25">
        <v>64</v>
      </c>
      <c r="E231" t="str" cm="1">
        <f t="array" ref="E231">insertinto(A231:D231,$F$2:$G$5,"pr_Assignments_Results")</f>
        <v>insert into pr_Assignments_Results values ('20229558', 'T-25', '27-Nov-2022', 64);</v>
      </c>
      <c r="H231">
        <v>229</v>
      </c>
    </row>
    <row r="232" spans="1:8" x14ac:dyDescent="0.15">
      <c r="A232">
        <f t="shared" si="6"/>
        <v>20229558</v>
      </c>
      <c r="B232" t="str">
        <f t="shared" si="7"/>
        <v>T-26</v>
      </c>
      <c r="C232" s="32">
        <v>45210</v>
      </c>
      <c r="D232" s="25">
        <v>61</v>
      </c>
      <c r="E232" t="str" cm="1">
        <f t="array" ref="E232">insertinto(A232:D232,$F$2:$G$5,"pr_Assignments_Results")</f>
        <v>insert into pr_Assignments_Results values ('20229558', 'T-26', '11-Oct-2023', 61);</v>
      </c>
      <c r="H232">
        <v>230</v>
      </c>
    </row>
    <row r="233" spans="1:8" x14ac:dyDescent="0.15">
      <c r="A233">
        <f t="shared" si="6"/>
        <v>20229558</v>
      </c>
      <c r="B233" t="str">
        <f t="shared" si="7"/>
        <v>T-27</v>
      </c>
      <c r="C233" s="32">
        <v>45234</v>
      </c>
      <c r="D233" s="25">
        <v>56</v>
      </c>
      <c r="E233" t="str" cm="1">
        <f t="array" ref="E233">insertinto(A233:D233,$F$2:$G$5,"pr_Assignments_Results")</f>
        <v>insert into pr_Assignments_Results values ('20229558', 'T-27', '04-Nov-2023', 56);</v>
      </c>
      <c r="H233">
        <v>231</v>
      </c>
    </row>
    <row r="234" spans="1:8" x14ac:dyDescent="0.15">
      <c r="A234">
        <f t="shared" si="6"/>
        <v>20229558</v>
      </c>
      <c r="B234" t="str">
        <f t="shared" si="7"/>
        <v>T-28</v>
      </c>
      <c r="C234" s="32">
        <v>45266</v>
      </c>
      <c r="D234" s="25">
        <v>70</v>
      </c>
      <c r="E234" t="str" cm="1">
        <f t="array" ref="E234">insertinto(A234:D234,$F$2:$G$5,"pr_Assignments_Results")</f>
        <v>insert into pr_Assignments_Results values ('20229558', 'T-28', '06-Dec-2023', 70);</v>
      </c>
      <c r="H234">
        <v>232</v>
      </c>
    </row>
    <row r="235" spans="1:8" x14ac:dyDescent="0.15">
      <c r="A235">
        <f t="shared" si="6"/>
        <v>20229558</v>
      </c>
      <c r="B235" t="str">
        <f t="shared" si="7"/>
        <v>T-29</v>
      </c>
      <c r="C235" s="32">
        <v>44947</v>
      </c>
      <c r="D235" s="25">
        <v>62</v>
      </c>
      <c r="E235" t="str" cm="1">
        <f t="array" ref="E235">insertinto(A235:D235,$F$2:$G$5,"pr_Assignments_Results")</f>
        <v>insert into pr_Assignments_Results values ('20229558', 'T-29', '21-Jan-2023', 62);</v>
      </c>
      <c r="H235">
        <v>233</v>
      </c>
    </row>
    <row r="236" spans="1:8" x14ac:dyDescent="0.15">
      <c r="A236">
        <f t="shared" si="6"/>
        <v>20229558</v>
      </c>
      <c r="B236" t="str">
        <f t="shared" si="7"/>
        <v>T-30</v>
      </c>
      <c r="C236" s="32">
        <v>45212</v>
      </c>
      <c r="D236" s="25">
        <v>76</v>
      </c>
      <c r="E236" t="str" cm="1">
        <f t="array" ref="E236">insertinto(A236:D236,$F$2:$G$5,"pr_Assignments_Results")</f>
        <v>insert into pr_Assignments_Results values ('20229558', 'T-30', '13-Oct-2023', 76);</v>
      </c>
      <c r="H236">
        <v>234</v>
      </c>
    </row>
    <row r="237" spans="1:8" x14ac:dyDescent="0.15">
      <c r="A237">
        <f t="shared" si="6"/>
        <v>20229558</v>
      </c>
      <c r="B237" t="str">
        <f t="shared" si="7"/>
        <v>T-31</v>
      </c>
      <c r="C237" s="32">
        <v>45232</v>
      </c>
      <c r="D237" s="25">
        <v>55</v>
      </c>
      <c r="E237" t="str" cm="1">
        <f t="array" ref="E237">insertinto(A237:D237,$F$2:$G$5,"pr_Assignments_Results")</f>
        <v>insert into pr_Assignments_Results values ('20229558', 'T-31', '02-Nov-2023', 55);</v>
      </c>
      <c r="H237">
        <v>235</v>
      </c>
    </row>
    <row r="238" spans="1:8" x14ac:dyDescent="0.15">
      <c r="A238">
        <f t="shared" si="6"/>
        <v>20229558</v>
      </c>
      <c r="B238" t="str">
        <f t="shared" si="7"/>
        <v>T-32</v>
      </c>
      <c r="C238" s="32">
        <v>45247</v>
      </c>
      <c r="D238" s="25">
        <v>60</v>
      </c>
      <c r="E238" t="str" cm="1">
        <f t="array" ref="E238">insertinto(A238:D238,$F$2:$G$5,"pr_Assignments_Results")</f>
        <v>insert into pr_Assignments_Results values ('20229558', 'T-32', '17-Nov-2023', 60);</v>
      </c>
      <c r="H238">
        <v>236</v>
      </c>
    </row>
    <row r="239" spans="1:8" x14ac:dyDescent="0.15">
      <c r="A239">
        <f t="shared" si="6"/>
        <v>20229558</v>
      </c>
      <c r="B239" t="str">
        <f t="shared" si="7"/>
        <v>T-33</v>
      </c>
      <c r="C239" s="32">
        <v>45258</v>
      </c>
      <c r="D239" s="25">
        <v>65</v>
      </c>
      <c r="E239" t="str" cm="1">
        <f t="array" ref="E239">insertinto(A239:D239,$F$2:$G$5,"pr_Assignments_Results")</f>
        <v>insert into pr_Assignments_Results values ('20229558', 'T-33', '28-Nov-2023', 65);</v>
      </c>
      <c r="H239">
        <v>237</v>
      </c>
    </row>
    <row r="240" spans="1:8" x14ac:dyDescent="0.15">
      <c r="A240">
        <f t="shared" si="6"/>
        <v>20228839</v>
      </c>
      <c r="B240" t="str">
        <f t="shared" si="7"/>
        <v>T-00</v>
      </c>
      <c r="C240" s="32">
        <v>44844</v>
      </c>
      <c r="D240" s="25">
        <v>56</v>
      </c>
      <c r="E240" t="str" cm="1">
        <f t="array" ref="E240">insertinto(A240:D240,$F$2:$G$5,"pr_Assignments_Results")</f>
        <v>insert into pr_Assignments_Results values ('20228839', 'T-00', '10-Oct-2022', 56);</v>
      </c>
      <c r="H240">
        <v>238</v>
      </c>
    </row>
    <row r="241" spans="1:8" x14ac:dyDescent="0.15">
      <c r="A241">
        <f t="shared" si="6"/>
        <v>20228839</v>
      </c>
      <c r="B241" t="str">
        <f t="shared" si="7"/>
        <v>T-01</v>
      </c>
      <c r="C241" s="32">
        <v>44850</v>
      </c>
      <c r="D241" s="25">
        <v>57</v>
      </c>
      <c r="E241" t="str" cm="1">
        <f t="array" ref="E241">insertinto(A241:D241,$F$2:$G$5,"pr_Assignments_Results")</f>
        <v>insert into pr_Assignments_Results values ('20228839', 'T-01', '16-Oct-2022', 57);</v>
      </c>
      <c r="H241">
        <v>239</v>
      </c>
    </row>
    <row r="242" spans="1:8" x14ac:dyDescent="0.15">
      <c r="A242">
        <f t="shared" si="6"/>
        <v>20228839</v>
      </c>
      <c r="B242" t="str">
        <f t="shared" si="7"/>
        <v>T-02</v>
      </c>
      <c r="C242" s="32">
        <v>44877</v>
      </c>
      <c r="D242" s="25">
        <v>71</v>
      </c>
      <c r="E242" t="str" cm="1">
        <f t="array" ref="E242">insertinto(A242:D242,$F$2:$G$5,"pr_Assignments_Results")</f>
        <v>insert into pr_Assignments_Results values ('20228839', 'T-02', '12-Nov-2022', 71);</v>
      </c>
      <c r="H242">
        <v>240</v>
      </c>
    </row>
    <row r="243" spans="1:8" x14ac:dyDescent="0.15">
      <c r="A243">
        <f t="shared" si="6"/>
        <v>20228839</v>
      </c>
      <c r="B243" t="str">
        <f t="shared" si="7"/>
        <v>T-03</v>
      </c>
      <c r="C243" s="32">
        <v>44882</v>
      </c>
      <c r="D243" s="25">
        <v>69</v>
      </c>
      <c r="E243" t="str" cm="1">
        <f t="array" ref="E243">insertinto(A243:D243,$F$2:$G$5,"pr_Assignments_Results")</f>
        <v>insert into pr_Assignments_Results values ('20228839', 'T-03', '17-Nov-2022', 69);</v>
      </c>
      <c r="H243">
        <v>241</v>
      </c>
    </row>
    <row r="244" spans="1:8" x14ac:dyDescent="0.15">
      <c r="A244">
        <f t="shared" si="6"/>
        <v>20228839</v>
      </c>
      <c r="B244" t="str">
        <f t="shared" si="7"/>
        <v>T-04</v>
      </c>
      <c r="C244" s="32">
        <v>44852</v>
      </c>
      <c r="D244" s="25">
        <v>76</v>
      </c>
      <c r="E244" t="str" cm="1">
        <f t="array" ref="E244">insertinto(A244:D244,$F$2:$G$5,"pr_Assignments_Results")</f>
        <v>insert into pr_Assignments_Results values ('20228839', 'T-04', '18-Oct-2022', 76);</v>
      </c>
      <c r="H244">
        <v>242</v>
      </c>
    </row>
    <row r="245" spans="1:8" x14ac:dyDescent="0.15">
      <c r="A245">
        <f t="shared" si="6"/>
        <v>20228839</v>
      </c>
      <c r="B245" t="str">
        <f t="shared" si="7"/>
        <v>T-05</v>
      </c>
      <c r="C245" s="32">
        <v>44839</v>
      </c>
      <c r="D245" s="25">
        <v>70</v>
      </c>
      <c r="E245" t="str" cm="1">
        <f t="array" ref="E245">insertinto(A245:D245,$F$2:$G$5,"pr_Assignments_Results")</f>
        <v>insert into pr_Assignments_Results values ('20228839', 'T-05', '05-Oct-2022', 70);</v>
      </c>
      <c r="H245">
        <v>243</v>
      </c>
    </row>
    <row r="246" spans="1:8" x14ac:dyDescent="0.15">
      <c r="A246">
        <f t="shared" si="6"/>
        <v>20228839</v>
      </c>
      <c r="B246" t="str">
        <f t="shared" si="7"/>
        <v>T-06</v>
      </c>
      <c r="C246" s="32">
        <v>44892</v>
      </c>
      <c r="D246" s="25">
        <v>68</v>
      </c>
      <c r="E246" t="str" cm="1">
        <f t="array" ref="E246">insertinto(A246:D246,$F$2:$G$5,"pr_Assignments_Results")</f>
        <v>insert into pr_Assignments_Results values ('20228839', 'T-06', '27-Nov-2022', 68);</v>
      </c>
      <c r="H246">
        <v>244</v>
      </c>
    </row>
    <row r="247" spans="1:8" x14ac:dyDescent="0.15">
      <c r="A247">
        <f t="shared" si="6"/>
        <v>20228839</v>
      </c>
      <c r="B247" t="str">
        <f t="shared" si="7"/>
        <v>T-07</v>
      </c>
      <c r="C247" s="32">
        <v>44841</v>
      </c>
      <c r="D247" s="25">
        <v>71</v>
      </c>
      <c r="E247" t="str" cm="1">
        <f t="array" ref="E247">insertinto(A247:D247,$F$2:$G$5,"pr_Assignments_Results")</f>
        <v>insert into pr_Assignments_Results values ('20228839', 'T-07', '07-Oct-2022', 71);</v>
      </c>
      <c r="H247">
        <v>245</v>
      </c>
    </row>
    <row r="248" spans="1:8" x14ac:dyDescent="0.15">
      <c r="A248">
        <f t="shared" si="6"/>
        <v>20228839</v>
      </c>
      <c r="B248" t="str">
        <f t="shared" si="7"/>
        <v>T-08</v>
      </c>
      <c r="C248" s="32">
        <v>44852</v>
      </c>
      <c r="D248" s="25">
        <v>60</v>
      </c>
      <c r="E248" t="str" cm="1">
        <f t="array" ref="E248">insertinto(A248:D248,$F$2:$G$5,"pr_Assignments_Results")</f>
        <v>insert into pr_Assignments_Results values ('20228839', 'T-08', '18-Oct-2022', 60);</v>
      </c>
      <c r="H248">
        <v>246</v>
      </c>
    </row>
    <row r="249" spans="1:8" x14ac:dyDescent="0.15">
      <c r="A249">
        <f t="shared" si="6"/>
        <v>20228839</v>
      </c>
      <c r="B249" t="str">
        <f t="shared" si="7"/>
        <v>T-09</v>
      </c>
      <c r="C249" s="32">
        <v>44882</v>
      </c>
      <c r="D249" s="25">
        <v>55</v>
      </c>
      <c r="E249" t="str" cm="1">
        <f t="array" ref="E249">insertinto(A249:D249,$F$2:$G$5,"pr_Assignments_Results")</f>
        <v>insert into pr_Assignments_Results values ('20228839', 'T-09', '17-Nov-2022', 55);</v>
      </c>
      <c r="H249">
        <v>247</v>
      </c>
    </row>
    <row r="250" spans="1:8" x14ac:dyDescent="0.15">
      <c r="A250">
        <f t="shared" si="6"/>
        <v>20228839</v>
      </c>
      <c r="B250" t="str">
        <f t="shared" si="7"/>
        <v>T-10</v>
      </c>
      <c r="C250" s="32">
        <v>44895</v>
      </c>
      <c r="D250" s="25">
        <v>64</v>
      </c>
      <c r="E250" t="str" cm="1">
        <f t="array" ref="E250">insertinto(A250:D250,$F$2:$G$5,"pr_Assignments_Results")</f>
        <v>insert into pr_Assignments_Results values ('20228839', 'T-10', '30-Nov-2022', 64);</v>
      </c>
      <c r="H250">
        <v>248</v>
      </c>
    </row>
    <row r="251" spans="1:8" x14ac:dyDescent="0.15">
      <c r="A251">
        <f t="shared" si="6"/>
        <v>20228839</v>
      </c>
      <c r="B251" t="str">
        <f t="shared" si="7"/>
        <v>T-11</v>
      </c>
      <c r="C251" s="32">
        <v>44956</v>
      </c>
      <c r="D251" s="25">
        <v>61</v>
      </c>
      <c r="E251" t="str" cm="1">
        <f t="array" ref="E251">insertinto(A251:D251,$F$2:$G$5,"pr_Assignments_Results")</f>
        <v>insert into pr_Assignments_Results values ('20228839', 'T-11', '30-Jan-2023', 61);</v>
      </c>
      <c r="H251">
        <v>249</v>
      </c>
    </row>
    <row r="252" spans="1:8" x14ac:dyDescent="0.15">
      <c r="A252">
        <f t="shared" si="6"/>
        <v>20228839</v>
      </c>
      <c r="B252" t="str">
        <f t="shared" si="7"/>
        <v>T-12</v>
      </c>
      <c r="C252" s="32">
        <v>44974</v>
      </c>
      <c r="D252" s="25">
        <v>71</v>
      </c>
      <c r="E252" t="str" cm="1">
        <f t="array" ref="E252">insertinto(A252:D252,$F$2:$G$5,"pr_Assignments_Results")</f>
        <v>insert into pr_Assignments_Results values ('20228839', 'T-12', '17-Feb-2023', 71);</v>
      </c>
      <c r="H252">
        <v>250</v>
      </c>
    </row>
    <row r="253" spans="1:8" x14ac:dyDescent="0.15">
      <c r="A253">
        <f t="shared" si="6"/>
        <v>20228839</v>
      </c>
      <c r="B253" t="str">
        <f t="shared" si="7"/>
        <v>T-13</v>
      </c>
      <c r="C253" s="32">
        <v>44988</v>
      </c>
      <c r="D253" s="25">
        <v>59</v>
      </c>
      <c r="E253" t="str" cm="1">
        <f t="array" ref="E253">insertinto(A253:D253,$F$2:$G$5,"pr_Assignments_Results")</f>
        <v>insert into pr_Assignments_Results values ('20228839', 'T-13', '03-Mar-2023', 59);</v>
      </c>
      <c r="H253">
        <v>251</v>
      </c>
    </row>
    <row r="254" spans="1:8" x14ac:dyDescent="0.15">
      <c r="A254">
        <f t="shared" si="6"/>
        <v>20228839</v>
      </c>
      <c r="B254" t="str">
        <f t="shared" si="7"/>
        <v>T-14</v>
      </c>
      <c r="C254" s="32">
        <v>44995</v>
      </c>
      <c r="D254" s="25">
        <v>67</v>
      </c>
      <c r="E254" t="str" cm="1">
        <f t="array" ref="E254">insertinto(A254:D254,$F$2:$G$5,"pr_Assignments_Results")</f>
        <v>insert into pr_Assignments_Results values ('20228839', 'T-14', '10-Mar-2023', 67);</v>
      </c>
      <c r="H254">
        <v>252</v>
      </c>
    </row>
    <row r="255" spans="1:8" x14ac:dyDescent="0.15">
      <c r="A255">
        <f t="shared" si="6"/>
        <v>20228839</v>
      </c>
      <c r="B255" t="str">
        <f t="shared" si="7"/>
        <v>T-15</v>
      </c>
      <c r="C255" s="32">
        <v>44956</v>
      </c>
      <c r="D255" s="25">
        <v>65</v>
      </c>
      <c r="E255" t="str" cm="1">
        <f t="array" ref="E255">insertinto(A255:D255,$F$2:$G$5,"pr_Assignments_Results")</f>
        <v>insert into pr_Assignments_Results values ('20228839', 'T-15', '30-Jan-2023', 65);</v>
      </c>
      <c r="H255">
        <v>253</v>
      </c>
    </row>
    <row r="256" spans="1:8" x14ac:dyDescent="0.15">
      <c r="A256">
        <f t="shared" si="6"/>
        <v>20228839</v>
      </c>
      <c r="B256" t="str">
        <f t="shared" si="7"/>
        <v>T-16</v>
      </c>
      <c r="C256" s="32">
        <v>44970</v>
      </c>
      <c r="D256" s="25">
        <v>69</v>
      </c>
      <c r="E256" t="str" cm="1">
        <f t="array" ref="E256">insertinto(A256:D256,$F$2:$G$5,"pr_Assignments_Results")</f>
        <v>insert into pr_Assignments_Results values ('20228839', 'T-16', '13-Feb-2023', 69);</v>
      </c>
      <c r="H256">
        <v>254</v>
      </c>
    </row>
    <row r="257" spans="1:8" x14ac:dyDescent="0.15">
      <c r="A257">
        <f t="shared" si="6"/>
        <v>20228839</v>
      </c>
      <c r="B257" t="str">
        <f t="shared" si="7"/>
        <v>T-17</v>
      </c>
      <c r="C257" s="32">
        <v>44986</v>
      </c>
      <c r="D257" s="25">
        <v>72</v>
      </c>
      <c r="E257" t="str" cm="1">
        <f t="array" ref="E257">insertinto(A257:D257,$F$2:$G$5,"pr_Assignments_Results")</f>
        <v>insert into pr_Assignments_Results values ('20228839', 'T-17', '01-Mar-2023', 72);</v>
      </c>
      <c r="H257">
        <v>255</v>
      </c>
    </row>
    <row r="258" spans="1:8" x14ac:dyDescent="0.15">
      <c r="A258">
        <f t="shared" ref="A258:A321" si="8">INDEX($I$2:$I$51,INT(H258/34)+1)</f>
        <v>20228839</v>
      </c>
      <c r="B258" t="str">
        <f t="shared" ref="B258:B321" si="9">INDEX($J$2:$J$35,MOD(H258,34)+1)</f>
        <v>T-18</v>
      </c>
      <c r="C258" s="32">
        <v>44963</v>
      </c>
      <c r="D258" s="25">
        <v>61</v>
      </c>
      <c r="E258" t="str" cm="1">
        <f t="array" ref="E258">insertinto(A258:D258,$F$2:$G$5,"pr_Assignments_Results")</f>
        <v>insert into pr_Assignments_Results values ('20228839', 'T-18', '06-Feb-2023', 61);</v>
      </c>
      <c r="H258">
        <v>256</v>
      </c>
    </row>
    <row r="259" spans="1:8" x14ac:dyDescent="0.15">
      <c r="A259">
        <f t="shared" si="8"/>
        <v>20228839</v>
      </c>
      <c r="B259" t="str">
        <f t="shared" si="9"/>
        <v>T-19</v>
      </c>
      <c r="C259" s="32">
        <v>45044</v>
      </c>
      <c r="D259" s="25">
        <v>55</v>
      </c>
      <c r="E259" t="str" cm="1">
        <f t="array" ref="E259">insertinto(A259:D259,$F$2:$G$5,"pr_Assignments_Results")</f>
        <v>insert into pr_Assignments_Results values ('20228839', 'T-19', '28-Apr-2023', 55);</v>
      </c>
      <c r="H259">
        <v>257</v>
      </c>
    </row>
    <row r="260" spans="1:8" x14ac:dyDescent="0.15">
      <c r="A260">
        <f t="shared" si="8"/>
        <v>20228839</v>
      </c>
      <c r="B260" t="str">
        <f t="shared" si="9"/>
        <v>T-20</v>
      </c>
      <c r="C260" s="32">
        <v>45053</v>
      </c>
      <c r="D260" s="25">
        <v>76</v>
      </c>
      <c r="E260" t="str" cm="1">
        <f t="array" ref="E260">insertinto(A260:D260,$F$2:$G$5,"pr_Assignments_Results")</f>
        <v>insert into pr_Assignments_Results values ('20228839', 'T-20', '07-May-2023', 76);</v>
      </c>
      <c r="H260">
        <v>258</v>
      </c>
    </row>
    <row r="261" spans="1:8" x14ac:dyDescent="0.15">
      <c r="A261">
        <f t="shared" si="8"/>
        <v>20228839</v>
      </c>
      <c r="B261" t="str">
        <f t="shared" si="9"/>
        <v>T-21</v>
      </c>
      <c r="C261" s="32">
        <v>45062</v>
      </c>
      <c r="D261" s="25">
        <v>76</v>
      </c>
      <c r="E261" t="str" cm="1">
        <f t="array" ref="E261">insertinto(A261:D261,$F$2:$G$5,"pr_Assignments_Results")</f>
        <v>insert into pr_Assignments_Results values ('20228839', 'T-21', '16-May-2023', 76);</v>
      </c>
      <c r="H261">
        <v>259</v>
      </c>
    </row>
    <row r="262" spans="1:8" x14ac:dyDescent="0.15">
      <c r="A262">
        <f t="shared" si="8"/>
        <v>20228839</v>
      </c>
      <c r="B262" t="str">
        <f t="shared" si="9"/>
        <v>T-22</v>
      </c>
      <c r="C262" s="32">
        <v>45071</v>
      </c>
      <c r="D262" s="25">
        <v>75</v>
      </c>
      <c r="E262" t="str" cm="1">
        <f t="array" ref="E262">insertinto(A262:D262,$F$2:$G$5,"pr_Assignments_Results")</f>
        <v>insert into pr_Assignments_Results values ('20228839', 'T-22', '25-May-2023', 75);</v>
      </c>
      <c r="H262">
        <v>260</v>
      </c>
    </row>
    <row r="263" spans="1:8" x14ac:dyDescent="0.15">
      <c r="A263">
        <f t="shared" si="8"/>
        <v>20228839</v>
      </c>
      <c r="B263" t="str">
        <f t="shared" si="9"/>
        <v>T-23</v>
      </c>
      <c r="C263" s="32">
        <v>45204</v>
      </c>
      <c r="D263" s="25">
        <v>67</v>
      </c>
      <c r="E263" t="str" cm="1">
        <f t="array" ref="E263">insertinto(A263:D263,$F$2:$G$5,"pr_Assignments_Results")</f>
        <v>insert into pr_Assignments_Results values ('20228839', 'T-23', '05-Oct-2023', 67);</v>
      </c>
      <c r="H263">
        <v>261</v>
      </c>
    </row>
    <row r="264" spans="1:8" x14ac:dyDescent="0.15">
      <c r="A264">
        <f t="shared" si="8"/>
        <v>20228839</v>
      </c>
      <c r="B264" t="str">
        <f t="shared" si="9"/>
        <v>T-24</v>
      </c>
      <c r="C264" s="32">
        <v>45227</v>
      </c>
      <c r="D264" s="25">
        <v>63</v>
      </c>
      <c r="E264" t="str" cm="1">
        <f t="array" ref="E264">insertinto(A264:D264,$F$2:$G$5,"pr_Assignments_Results")</f>
        <v>insert into pr_Assignments_Results values ('20228839', 'T-24', '28-Oct-2023', 63);</v>
      </c>
      <c r="H264">
        <v>262</v>
      </c>
    </row>
    <row r="265" spans="1:8" x14ac:dyDescent="0.15">
      <c r="A265">
        <f t="shared" si="8"/>
        <v>20228839</v>
      </c>
      <c r="B265" t="str">
        <f t="shared" si="9"/>
        <v>T-25</v>
      </c>
      <c r="C265" s="32">
        <v>44890</v>
      </c>
      <c r="D265" s="25">
        <v>71</v>
      </c>
      <c r="E265" t="str" cm="1">
        <f t="array" ref="E265">insertinto(A265:D265,$F$2:$G$5,"pr_Assignments_Results")</f>
        <v>insert into pr_Assignments_Results values ('20228839', 'T-25', '25-Nov-2022', 71);</v>
      </c>
      <c r="H265">
        <v>263</v>
      </c>
    </row>
    <row r="266" spans="1:8" x14ac:dyDescent="0.15">
      <c r="A266">
        <f t="shared" si="8"/>
        <v>20228839</v>
      </c>
      <c r="B266" t="str">
        <f t="shared" si="9"/>
        <v>T-26</v>
      </c>
      <c r="C266" s="32">
        <v>45209</v>
      </c>
      <c r="D266" s="25">
        <v>69</v>
      </c>
      <c r="E266" t="str" cm="1">
        <f t="array" ref="E266">insertinto(A266:D266,$F$2:$G$5,"pr_Assignments_Results")</f>
        <v>insert into pr_Assignments_Results values ('20228839', 'T-26', '10-Oct-2023', 69);</v>
      </c>
      <c r="H266">
        <v>264</v>
      </c>
    </row>
    <row r="267" spans="1:8" x14ac:dyDescent="0.15">
      <c r="A267">
        <f t="shared" si="8"/>
        <v>20228839</v>
      </c>
      <c r="B267" t="str">
        <f t="shared" si="9"/>
        <v>T-27</v>
      </c>
      <c r="C267" s="32">
        <v>45231</v>
      </c>
      <c r="D267" s="25">
        <v>69</v>
      </c>
      <c r="E267" t="str" cm="1">
        <f t="array" ref="E267">insertinto(A267:D267,$F$2:$G$5,"pr_Assignments_Results")</f>
        <v>insert into pr_Assignments_Results values ('20228839', 'T-27', '01-Nov-2023', 69);</v>
      </c>
      <c r="H267">
        <v>265</v>
      </c>
    </row>
    <row r="268" spans="1:8" x14ac:dyDescent="0.15">
      <c r="A268">
        <f t="shared" si="8"/>
        <v>20228839</v>
      </c>
      <c r="B268" t="str">
        <f t="shared" si="9"/>
        <v>T-28</v>
      </c>
      <c r="C268" s="32">
        <v>45260</v>
      </c>
      <c r="D268" s="25">
        <v>55</v>
      </c>
      <c r="E268" t="str" cm="1">
        <f t="array" ref="E268">insertinto(A268:D268,$F$2:$G$5,"pr_Assignments_Results")</f>
        <v>insert into pr_Assignments_Results values ('20228839', 'T-28', '30-Nov-2023', 55);</v>
      </c>
      <c r="H268">
        <v>266</v>
      </c>
    </row>
    <row r="269" spans="1:8" x14ac:dyDescent="0.15">
      <c r="A269">
        <f t="shared" si="8"/>
        <v>20228839</v>
      </c>
      <c r="B269" t="str">
        <f t="shared" si="9"/>
        <v>T-29</v>
      </c>
      <c r="C269" s="32">
        <v>44951</v>
      </c>
      <c r="D269" s="25">
        <v>71</v>
      </c>
      <c r="E269" t="str" cm="1">
        <f t="array" ref="E269">insertinto(A269:D269,$F$2:$G$5,"pr_Assignments_Results")</f>
        <v>insert into pr_Assignments_Results values ('20228839', 'T-29', '25-Jan-2023', 71);</v>
      </c>
      <c r="H269">
        <v>267</v>
      </c>
    </row>
    <row r="270" spans="1:8" x14ac:dyDescent="0.15">
      <c r="A270">
        <f t="shared" si="8"/>
        <v>20228839</v>
      </c>
      <c r="B270" t="str">
        <f t="shared" si="9"/>
        <v>T-30</v>
      </c>
      <c r="C270" s="32">
        <v>45210</v>
      </c>
      <c r="D270" s="25">
        <v>66</v>
      </c>
      <c r="E270" t="str" cm="1">
        <f t="array" ref="E270">insertinto(A270:D270,$F$2:$G$5,"pr_Assignments_Results")</f>
        <v>insert into pr_Assignments_Results values ('20228839', 'T-30', '11-Oct-2023', 66);</v>
      </c>
      <c r="H270">
        <v>268</v>
      </c>
    </row>
    <row r="271" spans="1:8" x14ac:dyDescent="0.15">
      <c r="A271">
        <f t="shared" si="8"/>
        <v>20228839</v>
      </c>
      <c r="B271" t="str">
        <f t="shared" si="9"/>
        <v>T-31</v>
      </c>
      <c r="C271" s="32">
        <v>45230</v>
      </c>
      <c r="D271" s="25">
        <v>56</v>
      </c>
      <c r="E271" t="str" cm="1">
        <f t="array" ref="E271">insertinto(A271:D271,$F$2:$G$5,"pr_Assignments_Results")</f>
        <v>insert into pr_Assignments_Results values ('20228839', 'T-31', '31-Oct-2023', 56);</v>
      </c>
      <c r="H271">
        <v>269</v>
      </c>
    </row>
    <row r="272" spans="1:8" x14ac:dyDescent="0.15">
      <c r="A272">
        <f t="shared" si="8"/>
        <v>20228839</v>
      </c>
      <c r="B272" t="str">
        <f t="shared" si="9"/>
        <v>T-32</v>
      </c>
      <c r="C272" s="32">
        <v>45246</v>
      </c>
      <c r="D272" s="25">
        <v>75</v>
      </c>
      <c r="E272" t="str" cm="1">
        <f t="array" ref="E272">insertinto(A272:D272,$F$2:$G$5,"pr_Assignments_Results")</f>
        <v>insert into pr_Assignments_Results values ('20228839', 'T-32', '16-Nov-2023', 75);</v>
      </c>
      <c r="H272">
        <v>270</v>
      </c>
    </row>
    <row r="273" spans="1:8" x14ac:dyDescent="0.15">
      <c r="A273">
        <f t="shared" si="8"/>
        <v>20228839</v>
      </c>
      <c r="B273" t="str">
        <f t="shared" si="9"/>
        <v>T-33</v>
      </c>
      <c r="C273" s="32">
        <v>45261</v>
      </c>
      <c r="D273" s="25">
        <v>64</v>
      </c>
      <c r="E273" t="str" cm="1">
        <f t="array" ref="E273">insertinto(A273:D273,$F$2:$G$5,"pr_Assignments_Results")</f>
        <v>insert into pr_Assignments_Results values ('20228839', 'T-33', '01-Dec-2023', 64);</v>
      </c>
      <c r="H273">
        <v>271</v>
      </c>
    </row>
    <row r="274" spans="1:8" x14ac:dyDescent="0.15">
      <c r="A274">
        <f t="shared" si="8"/>
        <v>20227541</v>
      </c>
      <c r="B274" t="str">
        <f t="shared" si="9"/>
        <v>T-00</v>
      </c>
      <c r="C274" s="32">
        <v>44843</v>
      </c>
      <c r="D274" s="25">
        <v>75</v>
      </c>
      <c r="E274" t="str" cm="1">
        <f t="array" ref="E274">insertinto(A274:D274,$F$2:$G$5,"pr_Assignments_Results")</f>
        <v>insert into pr_Assignments_Results values ('20227541', 'T-00', '09-Oct-2022', 75);</v>
      </c>
      <c r="H274">
        <v>272</v>
      </c>
    </row>
    <row r="275" spans="1:8" x14ac:dyDescent="0.15">
      <c r="A275">
        <f t="shared" si="8"/>
        <v>20227541</v>
      </c>
      <c r="B275" t="str">
        <f t="shared" si="9"/>
        <v>T-01</v>
      </c>
      <c r="C275" s="32">
        <v>44852</v>
      </c>
      <c r="D275" s="25">
        <v>64</v>
      </c>
      <c r="E275" t="str" cm="1">
        <f t="array" ref="E275">insertinto(A275:D275,$F$2:$G$5,"pr_Assignments_Results")</f>
        <v>insert into pr_Assignments_Results values ('20227541', 'T-01', '18-Oct-2022', 64);</v>
      </c>
      <c r="H275">
        <v>273</v>
      </c>
    </row>
    <row r="276" spans="1:8" x14ac:dyDescent="0.15">
      <c r="A276">
        <f t="shared" si="8"/>
        <v>20227541</v>
      </c>
      <c r="B276" t="str">
        <f t="shared" si="9"/>
        <v>T-02</v>
      </c>
      <c r="C276" s="32">
        <v>44877</v>
      </c>
      <c r="D276" s="25">
        <v>71</v>
      </c>
      <c r="E276" t="str" cm="1">
        <f t="array" ref="E276">insertinto(A276:D276,$F$2:$G$5,"pr_Assignments_Results")</f>
        <v>insert into pr_Assignments_Results values ('20227541', 'T-02', '12-Nov-2022', 71);</v>
      </c>
      <c r="H276">
        <v>274</v>
      </c>
    </row>
    <row r="277" spans="1:8" x14ac:dyDescent="0.15">
      <c r="A277">
        <f t="shared" si="8"/>
        <v>20227541</v>
      </c>
      <c r="B277" t="str">
        <f t="shared" si="9"/>
        <v>T-03</v>
      </c>
      <c r="C277" s="32">
        <v>44880</v>
      </c>
      <c r="D277" s="25">
        <v>75</v>
      </c>
      <c r="E277" t="str" cm="1">
        <f t="array" ref="E277">insertinto(A277:D277,$F$2:$G$5,"pr_Assignments_Results")</f>
        <v>insert into pr_Assignments_Results values ('20227541', 'T-03', '15-Nov-2022', 75);</v>
      </c>
      <c r="H277">
        <v>275</v>
      </c>
    </row>
    <row r="278" spans="1:8" x14ac:dyDescent="0.15">
      <c r="A278">
        <f t="shared" si="8"/>
        <v>20227541</v>
      </c>
      <c r="B278" t="str">
        <f t="shared" si="9"/>
        <v>T-04</v>
      </c>
      <c r="C278" s="32">
        <v>44849</v>
      </c>
      <c r="D278" s="25">
        <v>64</v>
      </c>
      <c r="E278" t="str" cm="1">
        <f t="array" ref="E278">insertinto(A278:D278,$F$2:$G$5,"pr_Assignments_Results")</f>
        <v>insert into pr_Assignments_Results values ('20227541', 'T-04', '15-Oct-2022', 64);</v>
      </c>
      <c r="H278">
        <v>276</v>
      </c>
    </row>
    <row r="279" spans="1:8" x14ac:dyDescent="0.15">
      <c r="A279">
        <f t="shared" si="8"/>
        <v>20227541</v>
      </c>
      <c r="B279" t="str">
        <f t="shared" si="9"/>
        <v>T-05</v>
      </c>
      <c r="C279" s="32">
        <v>44836</v>
      </c>
      <c r="D279" s="25">
        <v>56</v>
      </c>
      <c r="E279" t="str" cm="1">
        <f t="array" ref="E279">insertinto(A279:D279,$F$2:$G$5,"pr_Assignments_Results")</f>
        <v>insert into pr_Assignments_Results values ('20227541', 'T-05', '02-Oct-2022', 56);</v>
      </c>
      <c r="H279">
        <v>277</v>
      </c>
    </row>
    <row r="280" spans="1:8" x14ac:dyDescent="0.15">
      <c r="A280">
        <f t="shared" si="8"/>
        <v>20227541</v>
      </c>
      <c r="B280" t="str">
        <f t="shared" si="9"/>
        <v>T-06</v>
      </c>
      <c r="C280" s="32">
        <v>44889</v>
      </c>
      <c r="D280" s="25">
        <v>57</v>
      </c>
      <c r="E280" t="str" cm="1">
        <f t="array" ref="E280">insertinto(A280:D280,$F$2:$G$5,"pr_Assignments_Results")</f>
        <v>insert into pr_Assignments_Results values ('20227541', 'T-06', '24-Nov-2022', 57);</v>
      </c>
      <c r="H280">
        <v>278</v>
      </c>
    </row>
    <row r="281" spans="1:8" x14ac:dyDescent="0.15">
      <c r="A281">
        <f t="shared" si="8"/>
        <v>20227541</v>
      </c>
      <c r="B281" t="str">
        <f t="shared" si="9"/>
        <v>T-07</v>
      </c>
      <c r="C281" s="32">
        <v>44845</v>
      </c>
      <c r="D281" s="25">
        <v>73</v>
      </c>
      <c r="E281" t="str" cm="1">
        <f t="array" ref="E281">insertinto(A281:D281,$F$2:$G$5,"pr_Assignments_Results")</f>
        <v>insert into pr_Assignments_Results values ('20227541', 'T-07', '11-Oct-2022', 73);</v>
      </c>
      <c r="H281">
        <v>279</v>
      </c>
    </row>
    <row r="282" spans="1:8" x14ac:dyDescent="0.15">
      <c r="A282">
        <f t="shared" si="8"/>
        <v>20227541</v>
      </c>
      <c r="B282" t="str">
        <f t="shared" si="9"/>
        <v>T-08</v>
      </c>
      <c r="C282" s="32">
        <v>44857</v>
      </c>
      <c r="D282" s="25">
        <v>63</v>
      </c>
      <c r="E282" t="str" cm="1">
        <f t="array" ref="E282">insertinto(A282:D282,$F$2:$G$5,"pr_Assignments_Results")</f>
        <v>insert into pr_Assignments_Results values ('20227541', 'T-08', '23-Oct-2022', 63);</v>
      </c>
      <c r="H282">
        <v>280</v>
      </c>
    </row>
    <row r="283" spans="1:8" x14ac:dyDescent="0.15">
      <c r="A283">
        <f t="shared" si="8"/>
        <v>20227541</v>
      </c>
      <c r="B283" t="str">
        <f t="shared" si="9"/>
        <v>T-09</v>
      </c>
      <c r="C283" s="32">
        <v>44878</v>
      </c>
      <c r="D283" s="25">
        <v>59</v>
      </c>
      <c r="E283" t="str" cm="1">
        <f t="array" ref="E283">insertinto(A283:D283,$F$2:$G$5,"pr_Assignments_Results")</f>
        <v>insert into pr_Assignments_Results values ('20227541', 'T-09', '13-Nov-2022', 59);</v>
      </c>
      <c r="H283">
        <v>281</v>
      </c>
    </row>
    <row r="284" spans="1:8" x14ac:dyDescent="0.15">
      <c r="A284">
        <f t="shared" si="8"/>
        <v>20227541</v>
      </c>
      <c r="B284" t="str">
        <f t="shared" si="9"/>
        <v>T-10</v>
      </c>
      <c r="C284" s="32">
        <v>44890</v>
      </c>
      <c r="D284" s="25">
        <v>71</v>
      </c>
      <c r="E284" t="str" cm="1">
        <f t="array" ref="E284">insertinto(A284:D284,$F$2:$G$5,"pr_Assignments_Results")</f>
        <v>insert into pr_Assignments_Results values ('20227541', 'T-10', '25-Nov-2022', 71);</v>
      </c>
      <c r="H284">
        <v>282</v>
      </c>
    </row>
    <row r="285" spans="1:8" x14ac:dyDescent="0.15">
      <c r="A285">
        <f t="shared" si="8"/>
        <v>20227541</v>
      </c>
      <c r="B285" t="str">
        <f t="shared" si="9"/>
        <v>T-11</v>
      </c>
      <c r="C285" s="32">
        <v>44955</v>
      </c>
      <c r="D285" s="25">
        <v>72</v>
      </c>
      <c r="E285" t="str" cm="1">
        <f t="array" ref="E285">insertinto(A285:D285,$F$2:$G$5,"pr_Assignments_Results")</f>
        <v>insert into pr_Assignments_Results values ('20227541', 'T-11', '29-Jan-2023', 72);</v>
      </c>
      <c r="H285">
        <v>283</v>
      </c>
    </row>
    <row r="286" spans="1:8" x14ac:dyDescent="0.15">
      <c r="A286">
        <f t="shared" si="8"/>
        <v>20227541</v>
      </c>
      <c r="B286" t="str">
        <f t="shared" si="9"/>
        <v>T-12</v>
      </c>
      <c r="C286" s="32">
        <v>44974</v>
      </c>
      <c r="D286" s="25">
        <v>68</v>
      </c>
      <c r="E286" t="str" cm="1">
        <f t="array" ref="E286">insertinto(A286:D286,$F$2:$G$5,"pr_Assignments_Results")</f>
        <v>insert into pr_Assignments_Results values ('20227541', 'T-12', '17-Feb-2023', 68);</v>
      </c>
      <c r="H286">
        <v>284</v>
      </c>
    </row>
    <row r="287" spans="1:8" x14ac:dyDescent="0.15">
      <c r="A287">
        <f t="shared" si="8"/>
        <v>20227541</v>
      </c>
      <c r="B287" t="str">
        <f t="shared" si="9"/>
        <v>T-13</v>
      </c>
      <c r="C287" s="32">
        <v>44983</v>
      </c>
      <c r="D287" s="25">
        <v>62</v>
      </c>
      <c r="E287" t="str" cm="1">
        <f t="array" ref="E287">insertinto(A287:D287,$F$2:$G$5,"pr_Assignments_Results")</f>
        <v>insert into pr_Assignments_Results values ('20227541', 'T-13', '26-Feb-2023', 62);</v>
      </c>
      <c r="H287">
        <v>285</v>
      </c>
    </row>
    <row r="288" spans="1:8" x14ac:dyDescent="0.15">
      <c r="A288">
        <f t="shared" si="8"/>
        <v>20227541</v>
      </c>
      <c r="B288" t="str">
        <f t="shared" si="9"/>
        <v>T-14</v>
      </c>
      <c r="C288" s="32">
        <v>44993</v>
      </c>
      <c r="D288" s="25">
        <v>75</v>
      </c>
      <c r="E288" t="str" cm="1">
        <f t="array" ref="E288">insertinto(A288:D288,$F$2:$G$5,"pr_Assignments_Results")</f>
        <v>insert into pr_Assignments_Results values ('20227541', 'T-14', '08-Mar-2023', 75);</v>
      </c>
      <c r="H288">
        <v>286</v>
      </c>
    </row>
    <row r="289" spans="1:8" x14ac:dyDescent="0.15">
      <c r="A289">
        <f t="shared" si="8"/>
        <v>20227541</v>
      </c>
      <c r="B289" t="str">
        <f t="shared" si="9"/>
        <v>T-15</v>
      </c>
      <c r="C289" s="32">
        <v>44952</v>
      </c>
      <c r="D289" s="25">
        <v>70</v>
      </c>
      <c r="E289" t="str" cm="1">
        <f t="array" ref="E289">insertinto(A289:D289,$F$2:$G$5,"pr_Assignments_Results")</f>
        <v>insert into pr_Assignments_Results values ('20227541', 'T-15', '26-Jan-2023', 70);</v>
      </c>
      <c r="H289">
        <v>287</v>
      </c>
    </row>
    <row r="290" spans="1:8" x14ac:dyDescent="0.15">
      <c r="A290">
        <f t="shared" si="8"/>
        <v>20227541</v>
      </c>
      <c r="B290" t="str">
        <f t="shared" si="9"/>
        <v>T-16</v>
      </c>
      <c r="C290" s="32">
        <v>44971</v>
      </c>
      <c r="D290" s="25">
        <v>67</v>
      </c>
      <c r="E290" t="str" cm="1">
        <f t="array" ref="E290">insertinto(A290:D290,$F$2:$G$5,"pr_Assignments_Results")</f>
        <v>insert into pr_Assignments_Results values ('20227541', 'T-16', '14-Feb-2023', 67);</v>
      </c>
      <c r="H290">
        <v>288</v>
      </c>
    </row>
    <row r="291" spans="1:8" x14ac:dyDescent="0.15">
      <c r="A291">
        <f t="shared" si="8"/>
        <v>20227541</v>
      </c>
      <c r="B291" t="str">
        <f t="shared" si="9"/>
        <v>T-17</v>
      </c>
      <c r="C291" s="32">
        <v>44987</v>
      </c>
      <c r="D291" s="25">
        <v>72</v>
      </c>
      <c r="E291" t="str" cm="1">
        <f t="array" ref="E291">insertinto(A291:D291,$F$2:$G$5,"pr_Assignments_Results")</f>
        <v>insert into pr_Assignments_Results values ('20227541', 'T-17', '02-Mar-2023', 72);</v>
      </c>
      <c r="H291">
        <v>289</v>
      </c>
    </row>
    <row r="292" spans="1:8" x14ac:dyDescent="0.15">
      <c r="A292">
        <f t="shared" si="8"/>
        <v>20227541</v>
      </c>
      <c r="B292" t="str">
        <f t="shared" si="9"/>
        <v>T-18</v>
      </c>
      <c r="C292" s="32">
        <v>44965</v>
      </c>
      <c r="D292" s="25">
        <v>60</v>
      </c>
      <c r="E292" t="str" cm="1">
        <f t="array" ref="E292">insertinto(A292:D292,$F$2:$G$5,"pr_Assignments_Results")</f>
        <v>insert into pr_Assignments_Results values ('20227541', 'T-18', '08-Feb-2023', 60);</v>
      </c>
      <c r="H292">
        <v>290</v>
      </c>
    </row>
    <row r="293" spans="1:8" x14ac:dyDescent="0.15">
      <c r="A293">
        <f t="shared" si="8"/>
        <v>20227541</v>
      </c>
      <c r="B293" t="str">
        <f t="shared" si="9"/>
        <v>T-19</v>
      </c>
      <c r="C293" s="32">
        <v>45042</v>
      </c>
      <c r="D293" s="25">
        <v>57</v>
      </c>
      <c r="E293" t="str" cm="1">
        <f t="array" ref="E293">insertinto(A293:D293,$F$2:$G$5,"pr_Assignments_Results")</f>
        <v>insert into pr_Assignments_Results values ('20227541', 'T-19', '26-Apr-2023', 57);</v>
      </c>
      <c r="H293">
        <v>291</v>
      </c>
    </row>
    <row r="294" spans="1:8" x14ac:dyDescent="0.15">
      <c r="A294">
        <f t="shared" si="8"/>
        <v>20227541</v>
      </c>
      <c r="B294" t="str">
        <f t="shared" si="9"/>
        <v>T-20</v>
      </c>
      <c r="C294" s="32">
        <v>45050</v>
      </c>
      <c r="D294" s="25">
        <v>68</v>
      </c>
      <c r="E294" t="str" cm="1">
        <f t="array" ref="E294">insertinto(A294:D294,$F$2:$G$5,"pr_Assignments_Results")</f>
        <v>insert into pr_Assignments_Results values ('20227541', 'T-20', '04-May-2023', 68);</v>
      </c>
      <c r="H294">
        <v>292</v>
      </c>
    </row>
    <row r="295" spans="1:8" x14ac:dyDescent="0.15">
      <c r="A295">
        <f t="shared" si="8"/>
        <v>20227541</v>
      </c>
      <c r="B295" t="str">
        <f t="shared" si="9"/>
        <v>T-21</v>
      </c>
      <c r="C295" s="32">
        <v>45063</v>
      </c>
      <c r="D295" s="25">
        <v>61</v>
      </c>
      <c r="E295" t="str" cm="1">
        <f t="array" ref="E295">insertinto(A295:D295,$F$2:$G$5,"pr_Assignments_Results")</f>
        <v>insert into pr_Assignments_Results values ('20227541', 'T-21', '17-May-2023', 61);</v>
      </c>
      <c r="H295">
        <v>293</v>
      </c>
    </row>
    <row r="296" spans="1:8" x14ac:dyDescent="0.15">
      <c r="A296">
        <f t="shared" si="8"/>
        <v>20227541</v>
      </c>
      <c r="B296" t="str">
        <f t="shared" si="9"/>
        <v>T-22</v>
      </c>
      <c r="C296" s="32">
        <v>45073</v>
      </c>
      <c r="D296" s="25">
        <v>74</v>
      </c>
      <c r="E296" t="str" cm="1">
        <f t="array" ref="E296">insertinto(A296:D296,$F$2:$G$5,"pr_Assignments_Results")</f>
        <v>insert into pr_Assignments_Results values ('20227541', 'T-22', '27-May-2023', 74);</v>
      </c>
      <c r="H296">
        <v>294</v>
      </c>
    </row>
    <row r="297" spans="1:8" x14ac:dyDescent="0.15">
      <c r="A297">
        <f t="shared" si="8"/>
        <v>20227541</v>
      </c>
      <c r="B297" t="str">
        <f t="shared" si="9"/>
        <v>T-23</v>
      </c>
      <c r="C297" s="32">
        <v>45207</v>
      </c>
      <c r="D297" s="25">
        <v>68</v>
      </c>
      <c r="E297" t="str" cm="1">
        <f t="array" ref="E297">insertinto(A297:D297,$F$2:$G$5,"pr_Assignments_Results")</f>
        <v>insert into pr_Assignments_Results values ('20227541', 'T-23', '08-Oct-2023', 68);</v>
      </c>
      <c r="H297">
        <v>295</v>
      </c>
    </row>
    <row r="298" spans="1:8" x14ac:dyDescent="0.15">
      <c r="A298">
        <f t="shared" si="8"/>
        <v>20227541</v>
      </c>
      <c r="B298" t="str">
        <f t="shared" si="9"/>
        <v>T-24</v>
      </c>
      <c r="C298" s="32">
        <v>45224</v>
      </c>
      <c r="D298" s="25">
        <v>76</v>
      </c>
      <c r="E298" t="str" cm="1">
        <f t="array" ref="E298">insertinto(A298:D298,$F$2:$G$5,"pr_Assignments_Results")</f>
        <v>insert into pr_Assignments_Results values ('20227541', 'T-24', '25-Oct-2023', 76);</v>
      </c>
      <c r="H298">
        <v>296</v>
      </c>
    </row>
    <row r="299" spans="1:8" x14ac:dyDescent="0.15">
      <c r="A299">
        <f t="shared" si="8"/>
        <v>20227541</v>
      </c>
      <c r="B299" t="str">
        <f t="shared" si="9"/>
        <v>T-25</v>
      </c>
      <c r="C299" s="32">
        <v>44891</v>
      </c>
      <c r="D299" s="25">
        <v>67</v>
      </c>
      <c r="E299" t="str" cm="1">
        <f t="array" ref="E299">insertinto(A299:D299,$F$2:$G$5,"pr_Assignments_Results")</f>
        <v>insert into pr_Assignments_Results values ('20227541', 'T-25', '26-Nov-2022', 67);</v>
      </c>
      <c r="H299">
        <v>297</v>
      </c>
    </row>
    <row r="300" spans="1:8" x14ac:dyDescent="0.15">
      <c r="A300">
        <f t="shared" si="8"/>
        <v>20227541</v>
      </c>
      <c r="B300" t="str">
        <f t="shared" si="9"/>
        <v>T-26</v>
      </c>
      <c r="C300" s="32">
        <v>45209</v>
      </c>
      <c r="D300" s="25">
        <v>69</v>
      </c>
      <c r="E300" t="str" cm="1">
        <f t="array" ref="E300">insertinto(A300:D300,$F$2:$G$5,"pr_Assignments_Results")</f>
        <v>insert into pr_Assignments_Results values ('20227541', 'T-26', '10-Oct-2023', 69);</v>
      </c>
      <c r="H300">
        <v>298</v>
      </c>
    </row>
    <row r="301" spans="1:8" x14ac:dyDescent="0.15">
      <c r="A301">
        <f t="shared" si="8"/>
        <v>20227541</v>
      </c>
      <c r="B301" t="str">
        <f t="shared" si="9"/>
        <v>T-27</v>
      </c>
      <c r="C301" s="32">
        <v>45234</v>
      </c>
      <c r="D301" s="25">
        <v>63</v>
      </c>
      <c r="E301" t="str" cm="1">
        <f t="array" ref="E301">insertinto(A301:D301,$F$2:$G$5,"pr_Assignments_Results")</f>
        <v>insert into pr_Assignments_Results values ('20227541', 'T-27', '04-Nov-2023', 63);</v>
      </c>
      <c r="H301">
        <v>299</v>
      </c>
    </row>
    <row r="302" spans="1:8" x14ac:dyDescent="0.15">
      <c r="A302">
        <f t="shared" si="8"/>
        <v>20227541</v>
      </c>
      <c r="B302" t="str">
        <f t="shared" si="9"/>
        <v>T-28</v>
      </c>
      <c r="C302" s="32">
        <v>45265</v>
      </c>
      <c r="D302" s="25">
        <v>73</v>
      </c>
      <c r="E302" t="str" cm="1">
        <f t="array" ref="E302">insertinto(A302:D302,$F$2:$G$5,"pr_Assignments_Results")</f>
        <v>insert into pr_Assignments_Results values ('20227541', 'T-28', '05-Dec-2023', 73);</v>
      </c>
      <c r="H302">
        <v>300</v>
      </c>
    </row>
    <row r="303" spans="1:8" x14ac:dyDescent="0.15">
      <c r="A303">
        <f t="shared" si="8"/>
        <v>20227541</v>
      </c>
      <c r="B303" t="str">
        <f t="shared" si="9"/>
        <v>T-29</v>
      </c>
      <c r="C303" s="32">
        <v>44949</v>
      </c>
      <c r="D303" s="25">
        <v>59</v>
      </c>
      <c r="E303" t="str" cm="1">
        <f t="array" ref="E303">insertinto(A303:D303,$F$2:$G$5,"pr_Assignments_Results")</f>
        <v>insert into pr_Assignments_Results values ('20227541', 'T-29', '23-Jan-2023', 59);</v>
      </c>
      <c r="H303">
        <v>301</v>
      </c>
    </row>
    <row r="304" spans="1:8" x14ac:dyDescent="0.15">
      <c r="A304">
        <f t="shared" si="8"/>
        <v>20227541</v>
      </c>
      <c r="B304" t="str">
        <f t="shared" si="9"/>
        <v>T-30</v>
      </c>
      <c r="C304" s="32">
        <v>45212</v>
      </c>
      <c r="D304" s="25">
        <v>57</v>
      </c>
      <c r="E304" t="str" cm="1">
        <f t="array" ref="E304">insertinto(A304:D304,$F$2:$G$5,"pr_Assignments_Results")</f>
        <v>insert into pr_Assignments_Results values ('20227541', 'T-30', '13-Oct-2023', 57);</v>
      </c>
      <c r="H304">
        <v>302</v>
      </c>
    </row>
    <row r="305" spans="1:8" x14ac:dyDescent="0.15">
      <c r="A305">
        <f t="shared" si="8"/>
        <v>20227541</v>
      </c>
      <c r="B305" t="str">
        <f t="shared" si="9"/>
        <v>T-31</v>
      </c>
      <c r="C305" s="32">
        <v>45226</v>
      </c>
      <c r="D305" s="25">
        <v>56</v>
      </c>
      <c r="E305" t="str" cm="1">
        <f t="array" ref="E305">insertinto(A305:D305,$F$2:$G$5,"pr_Assignments_Results")</f>
        <v>insert into pr_Assignments_Results values ('20227541', 'T-31', '27-Oct-2023', 56);</v>
      </c>
      <c r="H305">
        <v>303</v>
      </c>
    </row>
    <row r="306" spans="1:8" x14ac:dyDescent="0.15">
      <c r="A306">
        <f t="shared" si="8"/>
        <v>20227541</v>
      </c>
      <c r="B306" t="str">
        <f t="shared" si="9"/>
        <v>T-32</v>
      </c>
      <c r="C306" s="32">
        <v>45247</v>
      </c>
      <c r="D306" s="25">
        <v>61</v>
      </c>
      <c r="E306" t="str" cm="1">
        <f t="array" ref="E306">insertinto(A306:D306,$F$2:$G$5,"pr_Assignments_Results")</f>
        <v>insert into pr_Assignments_Results values ('20227541', 'T-32', '17-Nov-2023', 61);</v>
      </c>
      <c r="H306">
        <v>304</v>
      </c>
    </row>
    <row r="307" spans="1:8" x14ac:dyDescent="0.15">
      <c r="A307">
        <f t="shared" si="8"/>
        <v>20227541</v>
      </c>
      <c r="B307" t="str">
        <f t="shared" si="9"/>
        <v>T-33</v>
      </c>
      <c r="C307" s="32">
        <v>45260</v>
      </c>
      <c r="D307" s="25">
        <v>56</v>
      </c>
      <c r="E307" t="str" cm="1">
        <f t="array" ref="E307">insertinto(A307:D307,$F$2:$G$5,"pr_Assignments_Results")</f>
        <v>insert into pr_Assignments_Results values ('20227541', 'T-33', '30-Nov-2023', 56);</v>
      </c>
      <c r="H307">
        <v>305</v>
      </c>
    </row>
    <row r="308" spans="1:8" x14ac:dyDescent="0.15">
      <c r="A308">
        <f t="shared" si="8"/>
        <v>20227466</v>
      </c>
      <c r="B308" t="str">
        <f t="shared" si="9"/>
        <v>T-00</v>
      </c>
      <c r="C308" s="32">
        <v>44844</v>
      </c>
      <c r="D308" s="25">
        <v>76</v>
      </c>
      <c r="E308" t="str" cm="1">
        <f t="array" ref="E308">insertinto(A308:D308,$F$2:$G$5,"pr_Assignments_Results")</f>
        <v>insert into pr_Assignments_Results values ('20227466', 'T-00', '10-Oct-2022', 76);</v>
      </c>
      <c r="H308">
        <v>306</v>
      </c>
    </row>
    <row r="309" spans="1:8" x14ac:dyDescent="0.15">
      <c r="A309">
        <f t="shared" si="8"/>
        <v>20227466</v>
      </c>
      <c r="B309" t="str">
        <f t="shared" si="9"/>
        <v>T-01</v>
      </c>
      <c r="C309" s="32">
        <v>44854</v>
      </c>
      <c r="D309" s="25">
        <v>55</v>
      </c>
      <c r="E309" t="str" cm="1">
        <f t="array" ref="E309">insertinto(A309:D309,$F$2:$G$5,"pr_Assignments_Results")</f>
        <v>insert into pr_Assignments_Results values ('20227466', 'T-01', '20-Oct-2022', 55);</v>
      </c>
      <c r="H309">
        <v>307</v>
      </c>
    </row>
    <row r="310" spans="1:8" x14ac:dyDescent="0.15">
      <c r="A310">
        <f t="shared" si="8"/>
        <v>20227466</v>
      </c>
      <c r="B310" t="str">
        <f t="shared" si="9"/>
        <v>T-02</v>
      </c>
      <c r="C310" s="32">
        <v>44874</v>
      </c>
      <c r="D310" s="25">
        <v>64</v>
      </c>
      <c r="E310" t="str" cm="1">
        <f t="array" ref="E310">insertinto(A310:D310,$F$2:$G$5,"pr_Assignments_Results")</f>
        <v>insert into pr_Assignments_Results values ('20227466', 'T-02', '09-Nov-2022', 64);</v>
      </c>
      <c r="H310">
        <v>308</v>
      </c>
    </row>
    <row r="311" spans="1:8" x14ac:dyDescent="0.15">
      <c r="A311">
        <f t="shared" si="8"/>
        <v>20227466</v>
      </c>
      <c r="B311" t="str">
        <f t="shared" si="9"/>
        <v>T-03</v>
      </c>
      <c r="C311" s="32">
        <v>44880</v>
      </c>
      <c r="D311" s="25">
        <v>57</v>
      </c>
      <c r="E311" t="str" cm="1">
        <f t="array" ref="E311">insertinto(A311:D311,$F$2:$G$5,"pr_Assignments_Results")</f>
        <v>insert into pr_Assignments_Results values ('20227466', 'T-03', '15-Nov-2022', 57);</v>
      </c>
      <c r="H311">
        <v>309</v>
      </c>
    </row>
    <row r="312" spans="1:8" x14ac:dyDescent="0.15">
      <c r="A312">
        <f t="shared" si="8"/>
        <v>20227466</v>
      </c>
      <c r="B312" t="str">
        <f t="shared" si="9"/>
        <v>T-04</v>
      </c>
      <c r="C312" s="32">
        <v>44849</v>
      </c>
      <c r="D312" s="25">
        <v>70</v>
      </c>
      <c r="E312" t="str" cm="1">
        <f t="array" ref="E312">insertinto(A312:D312,$F$2:$G$5,"pr_Assignments_Results")</f>
        <v>insert into pr_Assignments_Results values ('20227466', 'T-04', '15-Oct-2022', 70);</v>
      </c>
      <c r="H312">
        <v>310</v>
      </c>
    </row>
    <row r="313" spans="1:8" x14ac:dyDescent="0.15">
      <c r="A313">
        <f t="shared" si="8"/>
        <v>20227466</v>
      </c>
      <c r="B313" t="str">
        <f t="shared" si="9"/>
        <v>T-05</v>
      </c>
      <c r="C313" s="32">
        <v>44837</v>
      </c>
      <c r="D313" s="25">
        <v>70</v>
      </c>
      <c r="E313" t="str" cm="1">
        <f t="array" ref="E313">insertinto(A313:D313,$F$2:$G$5,"pr_Assignments_Results")</f>
        <v>insert into pr_Assignments_Results values ('20227466', 'T-05', '03-Oct-2022', 70);</v>
      </c>
      <c r="H313">
        <v>311</v>
      </c>
    </row>
    <row r="314" spans="1:8" x14ac:dyDescent="0.15">
      <c r="A314">
        <f t="shared" si="8"/>
        <v>20227466</v>
      </c>
      <c r="B314" t="str">
        <f t="shared" si="9"/>
        <v>T-06</v>
      </c>
      <c r="C314" s="32">
        <v>44887</v>
      </c>
      <c r="D314" s="25">
        <v>68</v>
      </c>
      <c r="E314" t="str" cm="1">
        <f t="array" ref="E314">insertinto(A314:D314,$F$2:$G$5,"pr_Assignments_Results")</f>
        <v>insert into pr_Assignments_Results values ('20227466', 'T-06', '22-Nov-2022', 68);</v>
      </c>
      <c r="H314">
        <v>312</v>
      </c>
    </row>
    <row r="315" spans="1:8" x14ac:dyDescent="0.15">
      <c r="A315">
        <f t="shared" si="8"/>
        <v>20227466</v>
      </c>
      <c r="B315" t="str">
        <f t="shared" si="9"/>
        <v>T-07</v>
      </c>
      <c r="C315" s="32">
        <v>44846</v>
      </c>
      <c r="D315" s="25">
        <v>68</v>
      </c>
      <c r="E315" t="str" cm="1">
        <f t="array" ref="E315">insertinto(A315:D315,$F$2:$G$5,"pr_Assignments_Results")</f>
        <v>insert into pr_Assignments_Results values ('20227466', 'T-07', '12-Oct-2022', 68);</v>
      </c>
      <c r="H315">
        <v>313</v>
      </c>
    </row>
    <row r="316" spans="1:8" x14ac:dyDescent="0.15">
      <c r="A316">
        <f t="shared" si="8"/>
        <v>20227466</v>
      </c>
      <c r="B316" t="str">
        <f t="shared" si="9"/>
        <v>T-08</v>
      </c>
      <c r="C316" s="32">
        <v>44851</v>
      </c>
      <c r="D316" s="25">
        <v>59</v>
      </c>
      <c r="E316" t="str" cm="1">
        <f t="array" ref="E316">insertinto(A316:D316,$F$2:$G$5,"pr_Assignments_Results")</f>
        <v>insert into pr_Assignments_Results values ('20227466', 'T-08', '17-Oct-2022', 59);</v>
      </c>
      <c r="H316">
        <v>314</v>
      </c>
    </row>
    <row r="317" spans="1:8" x14ac:dyDescent="0.15">
      <c r="A317">
        <f t="shared" si="8"/>
        <v>20227466</v>
      </c>
      <c r="B317" t="str">
        <f t="shared" si="9"/>
        <v>T-09</v>
      </c>
      <c r="C317" s="32">
        <v>44882</v>
      </c>
      <c r="D317" s="25">
        <v>68</v>
      </c>
      <c r="E317" t="str" cm="1">
        <f t="array" ref="E317">insertinto(A317:D317,$F$2:$G$5,"pr_Assignments_Results")</f>
        <v>insert into pr_Assignments_Results values ('20227466', 'T-09', '17-Nov-2022', 68);</v>
      </c>
      <c r="H317">
        <v>315</v>
      </c>
    </row>
    <row r="318" spans="1:8" x14ac:dyDescent="0.15">
      <c r="A318">
        <f t="shared" si="8"/>
        <v>20227466</v>
      </c>
      <c r="B318" t="str">
        <f t="shared" si="9"/>
        <v>T-10</v>
      </c>
      <c r="C318" s="32">
        <v>44896</v>
      </c>
      <c r="D318" s="25">
        <v>63</v>
      </c>
      <c r="E318" t="str" cm="1">
        <f t="array" ref="E318">insertinto(A318:D318,$F$2:$G$5,"pr_Assignments_Results")</f>
        <v>insert into pr_Assignments_Results values ('20227466', 'T-10', '01-Dec-2022', 63);</v>
      </c>
      <c r="H318">
        <v>316</v>
      </c>
    </row>
    <row r="319" spans="1:8" x14ac:dyDescent="0.15">
      <c r="A319">
        <f t="shared" si="8"/>
        <v>20227466</v>
      </c>
      <c r="B319" t="str">
        <f t="shared" si="9"/>
        <v>T-11</v>
      </c>
      <c r="C319" s="32">
        <v>44957</v>
      </c>
      <c r="D319" s="25">
        <v>68</v>
      </c>
      <c r="E319" t="str" cm="1">
        <f t="array" ref="E319">insertinto(A319:D319,$F$2:$G$5,"pr_Assignments_Results")</f>
        <v>insert into pr_Assignments_Results values ('20227466', 'T-11', '31-Jan-2023', 68);</v>
      </c>
      <c r="H319">
        <v>317</v>
      </c>
    </row>
    <row r="320" spans="1:8" x14ac:dyDescent="0.15">
      <c r="A320">
        <f t="shared" si="8"/>
        <v>20227466</v>
      </c>
      <c r="B320" t="str">
        <f t="shared" si="9"/>
        <v>T-12</v>
      </c>
      <c r="C320" s="32">
        <v>44970</v>
      </c>
      <c r="D320" s="25">
        <v>72</v>
      </c>
      <c r="E320" t="str" cm="1">
        <f t="array" ref="E320">insertinto(A320:D320,$F$2:$G$5,"pr_Assignments_Results")</f>
        <v>insert into pr_Assignments_Results values ('20227466', 'T-12', '13-Feb-2023', 72);</v>
      </c>
      <c r="H320">
        <v>318</v>
      </c>
    </row>
    <row r="321" spans="1:8" x14ac:dyDescent="0.15">
      <c r="A321">
        <f t="shared" si="8"/>
        <v>20227466</v>
      </c>
      <c r="B321" t="str">
        <f t="shared" si="9"/>
        <v>T-13</v>
      </c>
      <c r="C321" s="32">
        <v>44986</v>
      </c>
      <c r="D321" s="25">
        <v>73</v>
      </c>
      <c r="E321" t="str" cm="1">
        <f t="array" ref="E321">insertinto(A321:D321,$F$2:$G$5,"pr_Assignments_Results")</f>
        <v>insert into pr_Assignments_Results values ('20227466', 'T-13', '01-Mar-2023', 73);</v>
      </c>
      <c r="H321">
        <v>319</v>
      </c>
    </row>
    <row r="322" spans="1:8" x14ac:dyDescent="0.15">
      <c r="A322">
        <f t="shared" ref="A322:A385" si="10">INDEX($I$2:$I$51,INT(H322/34)+1)</f>
        <v>20227466</v>
      </c>
      <c r="B322" t="str">
        <f t="shared" ref="B322:B385" si="11">INDEX($J$2:$J$35,MOD(H322,34)+1)</f>
        <v>T-14</v>
      </c>
      <c r="C322" s="32">
        <v>44993</v>
      </c>
      <c r="D322" s="25">
        <v>75</v>
      </c>
      <c r="E322" t="str" cm="1">
        <f t="array" ref="E322">insertinto(A322:D322,$F$2:$G$5,"pr_Assignments_Results")</f>
        <v>insert into pr_Assignments_Results values ('20227466', 'T-14', '08-Mar-2023', 75);</v>
      </c>
      <c r="H322">
        <v>320</v>
      </c>
    </row>
    <row r="323" spans="1:8" x14ac:dyDescent="0.15">
      <c r="A323">
        <f t="shared" si="10"/>
        <v>20227466</v>
      </c>
      <c r="B323" t="str">
        <f t="shared" si="11"/>
        <v>T-15</v>
      </c>
      <c r="C323" s="32">
        <v>44958</v>
      </c>
      <c r="D323" s="25">
        <v>69</v>
      </c>
      <c r="E323" t="str" cm="1">
        <f t="array" ref="E323">insertinto(A323:D323,$F$2:$G$5,"pr_Assignments_Results")</f>
        <v>insert into pr_Assignments_Results values ('20227466', 'T-15', '01-Feb-2023', 69);</v>
      </c>
      <c r="H323">
        <v>321</v>
      </c>
    </row>
    <row r="324" spans="1:8" x14ac:dyDescent="0.15">
      <c r="A324">
        <f t="shared" si="10"/>
        <v>20227466</v>
      </c>
      <c r="B324" t="str">
        <f t="shared" si="11"/>
        <v>T-16</v>
      </c>
      <c r="C324" s="32">
        <v>44972</v>
      </c>
      <c r="D324" s="25">
        <v>64</v>
      </c>
      <c r="E324" t="str" cm="1">
        <f t="array" ref="E324">insertinto(A324:D324,$F$2:$G$5,"pr_Assignments_Results")</f>
        <v>insert into pr_Assignments_Results values ('20227466', 'T-16', '15-Feb-2023', 64);</v>
      </c>
      <c r="H324">
        <v>322</v>
      </c>
    </row>
    <row r="325" spans="1:8" x14ac:dyDescent="0.15">
      <c r="A325">
        <f t="shared" si="10"/>
        <v>20227466</v>
      </c>
      <c r="B325" t="str">
        <f t="shared" si="11"/>
        <v>T-17</v>
      </c>
      <c r="C325" s="32">
        <v>44984</v>
      </c>
      <c r="D325" s="25">
        <v>72</v>
      </c>
      <c r="E325" t="str" cm="1">
        <f t="array" ref="E325">insertinto(A325:D325,$F$2:$G$5,"pr_Assignments_Results")</f>
        <v>insert into pr_Assignments_Results values ('20227466', 'T-17', '27-Feb-2023', 72);</v>
      </c>
      <c r="H325">
        <v>323</v>
      </c>
    </row>
    <row r="326" spans="1:8" x14ac:dyDescent="0.15">
      <c r="A326">
        <f t="shared" si="10"/>
        <v>20227466</v>
      </c>
      <c r="B326" t="str">
        <f t="shared" si="11"/>
        <v>T-18</v>
      </c>
      <c r="C326" s="32">
        <v>44964</v>
      </c>
      <c r="D326" s="25">
        <v>66</v>
      </c>
      <c r="E326" t="str" cm="1">
        <f t="array" ref="E326">insertinto(A326:D326,$F$2:$G$5,"pr_Assignments_Results")</f>
        <v>insert into pr_Assignments_Results values ('20227466', 'T-18', '07-Feb-2023', 66);</v>
      </c>
      <c r="H326">
        <v>324</v>
      </c>
    </row>
    <row r="327" spans="1:8" x14ac:dyDescent="0.15">
      <c r="A327">
        <f t="shared" si="10"/>
        <v>20227466</v>
      </c>
      <c r="B327" t="str">
        <f t="shared" si="11"/>
        <v>T-19</v>
      </c>
      <c r="C327" s="32">
        <v>45045</v>
      </c>
      <c r="D327" s="25">
        <v>64</v>
      </c>
      <c r="E327" t="str" cm="1">
        <f t="array" ref="E327">insertinto(A327:D327,$F$2:$G$5,"pr_Assignments_Results")</f>
        <v>insert into pr_Assignments_Results values ('20227466', 'T-19', '29-Apr-2023', 64);</v>
      </c>
      <c r="H327">
        <v>325</v>
      </c>
    </row>
    <row r="328" spans="1:8" x14ac:dyDescent="0.15">
      <c r="A328">
        <f t="shared" si="10"/>
        <v>20227466</v>
      </c>
      <c r="B328" t="str">
        <f t="shared" si="11"/>
        <v>T-20</v>
      </c>
      <c r="C328" s="32">
        <v>45053</v>
      </c>
      <c r="D328" s="25">
        <v>59</v>
      </c>
      <c r="E328" t="str" cm="1">
        <f t="array" ref="E328">insertinto(A328:D328,$F$2:$G$5,"pr_Assignments_Results")</f>
        <v>insert into pr_Assignments_Results values ('20227466', 'T-20', '07-May-2023', 59);</v>
      </c>
      <c r="H328">
        <v>326</v>
      </c>
    </row>
    <row r="329" spans="1:8" x14ac:dyDescent="0.15">
      <c r="A329">
        <f t="shared" si="10"/>
        <v>20227466</v>
      </c>
      <c r="B329" t="str">
        <f t="shared" si="11"/>
        <v>T-21</v>
      </c>
      <c r="C329" s="32">
        <v>45059</v>
      </c>
      <c r="D329" s="25">
        <v>70</v>
      </c>
      <c r="E329" t="str" cm="1">
        <f t="array" ref="E329">insertinto(A329:D329,$F$2:$G$5,"pr_Assignments_Results")</f>
        <v>insert into pr_Assignments_Results values ('20227466', 'T-21', '13-May-2023', 70);</v>
      </c>
      <c r="H329">
        <v>327</v>
      </c>
    </row>
    <row r="330" spans="1:8" x14ac:dyDescent="0.15">
      <c r="A330">
        <f t="shared" si="10"/>
        <v>20227466</v>
      </c>
      <c r="B330" t="str">
        <f t="shared" si="11"/>
        <v>T-22</v>
      </c>
      <c r="C330" s="32">
        <v>45072</v>
      </c>
      <c r="D330" s="25">
        <v>57</v>
      </c>
      <c r="E330" t="str" cm="1">
        <f t="array" ref="E330">insertinto(A330:D330,$F$2:$G$5,"pr_Assignments_Results")</f>
        <v>insert into pr_Assignments_Results values ('20227466', 'T-22', '26-May-2023', 57);</v>
      </c>
      <c r="H330">
        <v>328</v>
      </c>
    </row>
    <row r="331" spans="1:8" x14ac:dyDescent="0.15">
      <c r="A331">
        <f t="shared" si="10"/>
        <v>20227466</v>
      </c>
      <c r="B331" t="str">
        <f t="shared" si="11"/>
        <v>T-23</v>
      </c>
      <c r="C331" s="32">
        <v>45209</v>
      </c>
      <c r="D331" s="25">
        <v>69</v>
      </c>
      <c r="E331" t="str" cm="1">
        <f t="array" ref="E331">insertinto(A331:D331,$F$2:$G$5,"pr_Assignments_Results")</f>
        <v>insert into pr_Assignments_Results values ('20227466', 'T-23', '10-Oct-2023', 69);</v>
      </c>
      <c r="H331">
        <v>329</v>
      </c>
    </row>
    <row r="332" spans="1:8" x14ac:dyDescent="0.15">
      <c r="A332">
        <f t="shared" si="10"/>
        <v>20227466</v>
      </c>
      <c r="B332" t="str">
        <f t="shared" si="11"/>
        <v>T-24</v>
      </c>
      <c r="C332" s="32">
        <v>45224</v>
      </c>
      <c r="D332" s="25">
        <v>56</v>
      </c>
      <c r="E332" t="str" cm="1">
        <f t="array" ref="E332">insertinto(A332:D332,$F$2:$G$5,"pr_Assignments_Results")</f>
        <v>insert into pr_Assignments_Results values ('20227466', 'T-24', '25-Oct-2023', 56);</v>
      </c>
      <c r="H332">
        <v>330</v>
      </c>
    </row>
    <row r="333" spans="1:8" x14ac:dyDescent="0.15">
      <c r="A333">
        <f t="shared" si="10"/>
        <v>20227466</v>
      </c>
      <c r="B333" t="str">
        <f t="shared" si="11"/>
        <v>T-25</v>
      </c>
      <c r="C333" s="32">
        <v>44891</v>
      </c>
      <c r="D333" s="25">
        <v>65</v>
      </c>
      <c r="E333" t="str" cm="1">
        <f t="array" ref="E333">insertinto(A333:D333,$F$2:$G$5,"pr_Assignments_Results")</f>
        <v>insert into pr_Assignments_Results values ('20227466', 'T-25', '26-Nov-2022', 65);</v>
      </c>
      <c r="H333">
        <v>331</v>
      </c>
    </row>
    <row r="334" spans="1:8" x14ac:dyDescent="0.15">
      <c r="A334">
        <f t="shared" si="10"/>
        <v>20227466</v>
      </c>
      <c r="B334" t="str">
        <f t="shared" si="11"/>
        <v>T-26</v>
      </c>
      <c r="C334" s="32">
        <v>45212</v>
      </c>
      <c r="D334" s="25">
        <v>67</v>
      </c>
      <c r="E334" t="str" cm="1">
        <f t="array" ref="E334">insertinto(A334:D334,$F$2:$G$5,"pr_Assignments_Results")</f>
        <v>insert into pr_Assignments_Results values ('20227466', 'T-26', '13-Oct-2023', 67);</v>
      </c>
      <c r="H334">
        <v>332</v>
      </c>
    </row>
    <row r="335" spans="1:8" x14ac:dyDescent="0.15">
      <c r="A335">
        <f t="shared" si="10"/>
        <v>20227466</v>
      </c>
      <c r="B335" t="str">
        <f t="shared" si="11"/>
        <v>T-27</v>
      </c>
      <c r="C335" s="32">
        <v>45230</v>
      </c>
      <c r="D335" s="25">
        <v>61</v>
      </c>
      <c r="E335" t="str" cm="1">
        <f t="array" ref="E335">insertinto(A335:D335,$F$2:$G$5,"pr_Assignments_Results")</f>
        <v>insert into pr_Assignments_Results values ('20227466', 'T-27', '31-Oct-2023', 61);</v>
      </c>
      <c r="H335">
        <v>333</v>
      </c>
    </row>
    <row r="336" spans="1:8" x14ac:dyDescent="0.15">
      <c r="A336">
        <f t="shared" si="10"/>
        <v>20227466</v>
      </c>
      <c r="B336" t="str">
        <f t="shared" si="11"/>
        <v>T-28</v>
      </c>
      <c r="C336" s="32">
        <v>45262</v>
      </c>
      <c r="D336" s="25">
        <v>75</v>
      </c>
      <c r="E336" t="str" cm="1">
        <f t="array" ref="E336">insertinto(A336:D336,$F$2:$G$5,"pr_Assignments_Results")</f>
        <v>insert into pr_Assignments_Results values ('20227466', 'T-28', '02-Dec-2023', 75);</v>
      </c>
      <c r="H336">
        <v>334</v>
      </c>
    </row>
    <row r="337" spans="1:8" x14ac:dyDescent="0.15">
      <c r="A337">
        <f t="shared" si="10"/>
        <v>20227466</v>
      </c>
      <c r="B337" t="str">
        <f t="shared" si="11"/>
        <v>T-29</v>
      </c>
      <c r="C337" s="32">
        <v>44946</v>
      </c>
      <c r="D337" s="25">
        <v>63</v>
      </c>
      <c r="E337" t="str" cm="1">
        <f t="array" ref="E337">insertinto(A337:D337,$F$2:$G$5,"pr_Assignments_Results")</f>
        <v>insert into pr_Assignments_Results values ('20227466', 'T-29', '20-Jan-2023', 63);</v>
      </c>
      <c r="H337">
        <v>335</v>
      </c>
    </row>
    <row r="338" spans="1:8" x14ac:dyDescent="0.15">
      <c r="A338">
        <f t="shared" si="10"/>
        <v>20227466</v>
      </c>
      <c r="B338" t="str">
        <f t="shared" si="11"/>
        <v>T-30</v>
      </c>
      <c r="C338" s="32">
        <v>45215</v>
      </c>
      <c r="D338" s="25">
        <v>76</v>
      </c>
      <c r="E338" t="str" cm="1">
        <f t="array" ref="E338">insertinto(A338:D338,$F$2:$G$5,"pr_Assignments_Results")</f>
        <v>insert into pr_Assignments_Results values ('20227466', 'T-30', '16-Oct-2023', 76);</v>
      </c>
      <c r="H338">
        <v>336</v>
      </c>
    </row>
    <row r="339" spans="1:8" x14ac:dyDescent="0.15">
      <c r="A339">
        <f t="shared" si="10"/>
        <v>20227466</v>
      </c>
      <c r="B339" t="str">
        <f t="shared" si="11"/>
        <v>T-31</v>
      </c>
      <c r="C339" s="32">
        <v>45230</v>
      </c>
      <c r="D339" s="25">
        <v>76</v>
      </c>
      <c r="E339" t="str" cm="1">
        <f t="array" ref="E339">insertinto(A339:D339,$F$2:$G$5,"pr_Assignments_Results")</f>
        <v>insert into pr_Assignments_Results values ('20227466', 'T-31', '31-Oct-2023', 76);</v>
      </c>
      <c r="H339">
        <v>337</v>
      </c>
    </row>
    <row r="340" spans="1:8" x14ac:dyDescent="0.15">
      <c r="A340">
        <f t="shared" si="10"/>
        <v>20227466</v>
      </c>
      <c r="B340" t="str">
        <f t="shared" si="11"/>
        <v>T-32</v>
      </c>
      <c r="C340" s="32">
        <v>45246</v>
      </c>
      <c r="D340" s="25">
        <v>75</v>
      </c>
      <c r="E340" t="str" cm="1">
        <f t="array" ref="E340">insertinto(A340:D340,$F$2:$G$5,"pr_Assignments_Results")</f>
        <v>insert into pr_Assignments_Results values ('20227466', 'T-32', '16-Nov-2023', 75);</v>
      </c>
      <c r="H340">
        <v>338</v>
      </c>
    </row>
    <row r="341" spans="1:8" x14ac:dyDescent="0.15">
      <c r="A341">
        <f t="shared" si="10"/>
        <v>20227466</v>
      </c>
      <c r="B341" t="str">
        <f t="shared" si="11"/>
        <v>T-33</v>
      </c>
      <c r="C341" s="32">
        <v>45259</v>
      </c>
      <c r="D341" s="25">
        <v>74</v>
      </c>
      <c r="E341" t="str" cm="1">
        <f t="array" ref="E341">insertinto(A341:D341,$F$2:$G$5,"pr_Assignments_Results")</f>
        <v>insert into pr_Assignments_Results values ('20227466', 'T-33', '29-Nov-2023', 74);</v>
      </c>
      <c r="H341">
        <v>339</v>
      </c>
    </row>
    <row r="342" spans="1:8" x14ac:dyDescent="0.15">
      <c r="A342">
        <f t="shared" si="10"/>
        <v>20226221</v>
      </c>
      <c r="B342" t="str">
        <f t="shared" si="11"/>
        <v>T-00</v>
      </c>
      <c r="C342" s="32">
        <v>44843</v>
      </c>
      <c r="D342" s="25">
        <v>69</v>
      </c>
      <c r="E342" t="str" cm="1">
        <f t="array" ref="E342">insertinto(A342:D342,$F$2:$G$5,"pr_Assignments_Results")</f>
        <v>insert into pr_Assignments_Results values ('20226221', 'T-00', '09-Oct-2022', 69);</v>
      </c>
      <c r="H342">
        <v>340</v>
      </c>
    </row>
    <row r="343" spans="1:8" x14ac:dyDescent="0.15">
      <c r="A343">
        <f t="shared" si="10"/>
        <v>20226221</v>
      </c>
      <c r="B343" t="str">
        <f t="shared" si="11"/>
        <v>T-01</v>
      </c>
      <c r="C343" s="32">
        <v>44853</v>
      </c>
      <c r="D343" s="25">
        <v>59</v>
      </c>
      <c r="E343" t="str" cm="1">
        <f t="array" ref="E343">insertinto(A343:D343,$F$2:$G$5,"pr_Assignments_Results")</f>
        <v>insert into pr_Assignments_Results values ('20226221', 'T-01', '19-Oct-2022', 59);</v>
      </c>
      <c r="H343">
        <v>341</v>
      </c>
    </row>
    <row r="344" spans="1:8" x14ac:dyDescent="0.15">
      <c r="A344">
        <f t="shared" si="10"/>
        <v>20226221</v>
      </c>
      <c r="B344" t="str">
        <f t="shared" si="11"/>
        <v>T-02</v>
      </c>
      <c r="C344" s="32">
        <v>44875</v>
      </c>
      <c r="D344" s="25">
        <v>76</v>
      </c>
      <c r="E344" t="str" cm="1">
        <f t="array" ref="E344">insertinto(A344:D344,$F$2:$G$5,"pr_Assignments_Results")</f>
        <v>insert into pr_Assignments_Results values ('20226221', 'T-02', '10-Nov-2022', 76);</v>
      </c>
      <c r="H344">
        <v>342</v>
      </c>
    </row>
    <row r="345" spans="1:8" x14ac:dyDescent="0.15">
      <c r="A345">
        <f t="shared" si="10"/>
        <v>20226221</v>
      </c>
      <c r="B345" t="str">
        <f t="shared" si="11"/>
        <v>T-03</v>
      </c>
      <c r="C345" s="32">
        <v>44883</v>
      </c>
      <c r="D345" s="25">
        <v>70</v>
      </c>
      <c r="E345" t="str" cm="1">
        <f t="array" ref="E345">insertinto(A345:D345,$F$2:$G$5,"pr_Assignments_Results")</f>
        <v>insert into pr_Assignments_Results values ('20226221', 'T-03', '18-Nov-2022', 70);</v>
      </c>
      <c r="H345">
        <v>343</v>
      </c>
    </row>
    <row r="346" spans="1:8" x14ac:dyDescent="0.15">
      <c r="A346">
        <f t="shared" si="10"/>
        <v>20226221</v>
      </c>
      <c r="B346" t="str">
        <f t="shared" si="11"/>
        <v>T-04</v>
      </c>
      <c r="C346" s="32">
        <v>44899</v>
      </c>
      <c r="D346" s="25">
        <v>69</v>
      </c>
      <c r="E346" t="str" cm="1">
        <f t="array" ref="E346">insertinto(A346:D346,$F$2:$G$5,"pr_Assignments_Results")</f>
        <v>insert into pr_Assignments_Results values ('20226221', 'T-04', '04-Dec-2022', 69);</v>
      </c>
      <c r="H346">
        <v>344</v>
      </c>
    </row>
    <row r="347" spans="1:8" x14ac:dyDescent="0.15">
      <c r="A347">
        <f t="shared" si="10"/>
        <v>20226221</v>
      </c>
      <c r="B347" t="str">
        <f t="shared" si="11"/>
        <v>T-05</v>
      </c>
      <c r="C347" s="32">
        <v>44842</v>
      </c>
      <c r="D347" s="25">
        <v>70</v>
      </c>
      <c r="E347" t="str" cm="1">
        <f t="array" ref="E347">insertinto(A347:D347,$F$2:$G$5,"pr_Assignments_Results")</f>
        <v>insert into pr_Assignments_Results values ('20226221', 'T-05', '08-Oct-2022', 70);</v>
      </c>
      <c r="H347">
        <v>345</v>
      </c>
    </row>
    <row r="348" spans="1:8" x14ac:dyDescent="0.15">
      <c r="A348">
        <f t="shared" si="10"/>
        <v>20226221</v>
      </c>
      <c r="B348" t="str">
        <f t="shared" si="11"/>
        <v>T-06</v>
      </c>
      <c r="C348" s="32">
        <v>44891</v>
      </c>
      <c r="D348" s="25">
        <v>70</v>
      </c>
      <c r="E348" t="str" cm="1">
        <f t="array" ref="E348">insertinto(A348:D348,$F$2:$G$5,"pr_Assignments_Results")</f>
        <v>insert into pr_Assignments_Results values ('20226221', 'T-06', '26-Nov-2022', 70);</v>
      </c>
      <c r="H348">
        <v>346</v>
      </c>
    </row>
    <row r="349" spans="1:8" x14ac:dyDescent="0.15">
      <c r="A349">
        <f t="shared" si="10"/>
        <v>20226221</v>
      </c>
      <c r="B349" t="str">
        <f t="shared" si="11"/>
        <v>T-07</v>
      </c>
      <c r="C349" s="32">
        <v>44842</v>
      </c>
      <c r="D349" s="25">
        <v>75</v>
      </c>
      <c r="E349" t="str" cm="1">
        <f t="array" ref="E349">insertinto(A349:D349,$F$2:$G$5,"pr_Assignments_Results")</f>
        <v>insert into pr_Assignments_Results values ('20226221', 'T-07', '08-Oct-2022', 75);</v>
      </c>
      <c r="H349">
        <v>347</v>
      </c>
    </row>
    <row r="350" spans="1:8" x14ac:dyDescent="0.15">
      <c r="A350">
        <f t="shared" si="10"/>
        <v>20226221</v>
      </c>
      <c r="B350" t="str">
        <f t="shared" si="11"/>
        <v>T-08</v>
      </c>
      <c r="C350" s="32">
        <v>44852</v>
      </c>
      <c r="D350" s="25">
        <v>58</v>
      </c>
      <c r="E350" t="str" cm="1">
        <f t="array" ref="E350">insertinto(A350:D350,$F$2:$G$5,"pr_Assignments_Results")</f>
        <v>insert into pr_Assignments_Results values ('20226221', 'T-08', '18-Oct-2022', 58);</v>
      </c>
      <c r="H350">
        <v>348</v>
      </c>
    </row>
    <row r="351" spans="1:8" x14ac:dyDescent="0.15">
      <c r="A351">
        <f t="shared" si="10"/>
        <v>20226221</v>
      </c>
      <c r="B351" t="str">
        <f t="shared" si="11"/>
        <v>T-09</v>
      </c>
      <c r="C351" s="32">
        <v>44878</v>
      </c>
      <c r="D351" s="25">
        <v>59</v>
      </c>
      <c r="E351" t="str" cm="1">
        <f t="array" ref="E351">insertinto(A351:D351,$F$2:$G$5,"pr_Assignments_Results")</f>
        <v>insert into pr_Assignments_Results values ('20226221', 'T-09', '13-Nov-2022', 59);</v>
      </c>
      <c r="H351">
        <v>349</v>
      </c>
    </row>
    <row r="352" spans="1:8" x14ac:dyDescent="0.15">
      <c r="A352">
        <f t="shared" si="10"/>
        <v>20226221</v>
      </c>
      <c r="B352" t="str">
        <f t="shared" si="11"/>
        <v>T-10</v>
      </c>
      <c r="C352" s="32">
        <v>44895</v>
      </c>
      <c r="D352" s="25">
        <v>69</v>
      </c>
      <c r="E352" t="str" cm="1">
        <f t="array" ref="E352">insertinto(A352:D352,$F$2:$G$5,"pr_Assignments_Results")</f>
        <v>insert into pr_Assignments_Results values ('20226221', 'T-10', '30-Nov-2022', 69);</v>
      </c>
      <c r="H352">
        <v>350</v>
      </c>
    </row>
    <row r="353" spans="1:8" x14ac:dyDescent="0.15">
      <c r="A353">
        <f t="shared" si="10"/>
        <v>20226221</v>
      </c>
      <c r="B353" t="str">
        <f t="shared" si="11"/>
        <v>T-11</v>
      </c>
      <c r="C353" s="32">
        <v>44958</v>
      </c>
      <c r="D353" s="25">
        <v>64</v>
      </c>
      <c r="E353" t="str" cm="1">
        <f t="array" ref="E353">insertinto(A353:D353,$F$2:$G$5,"pr_Assignments_Results")</f>
        <v>insert into pr_Assignments_Results values ('20226221', 'T-11', '01-Feb-2023', 64);</v>
      </c>
      <c r="H353">
        <v>351</v>
      </c>
    </row>
    <row r="354" spans="1:8" x14ac:dyDescent="0.15">
      <c r="A354">
        <f t="shared" si="10"/>
        <v>20226221</v>
      </c>
      <c r="B354" t="str">
        <f t="shared" si="11"/>
        <v>T-12</v>
      </c>
      <c r="C354" s="32">
        <v>44971</v>
      </c>
      <c r="D354" s="25">
        <v>57</v>
      </c>
      <c r="E354" t="str" cm="1">
        <f t="array" ref="E354">insertinto(A354:D354,$F$2:$G$5,"pr_Assignments_Results")</f>
        <v>insert into pr_Assignments_Results values ('20226221', 'T-12', '14-Feb-2023', 57);</v>
      </c>
      <c r="H354">
        <v>352</v>
      </c>
    </row>
    <row r="355" spans="1:8" x14ac:dyDescent="0.15">
      <c r="A355">
        <f t="shared" si="10"/>
        <v>20226221</v>
      </c>
      <c r="B355" t="str">
        <f t="shared" si="11"/>
        <v>T-13</v>
      </c>
      <c r="C355" s="32">
        <v>44986</v>
      </c>
      <c r="D355" s="25">
        <v>73</v>
      </c>
      <c r="E355" t="str" cm="1">
        <f t="array" ref="E355">insertinto(A355:D355,$F$2:$G$5,"pr_Assignments_Results")</f>
        <v>insert into pr_Assignments_Results values ('20226221', 'T-13', '01-Mar-2023', 73);</v>
      </c>
      <c r="H355">
        <v>353</v>
      </c>
    </row>
    <row r="356" spans="1:8" x14ac:dyDescent="0.15">
      <c r="A356">
        <f t="shared" si="10"/>
        <v>20226221</v>
      </c>
      <c r="B356" t="str">
        <f t="shared" si="11"/>
        <v>T-14</v>
      </c>
      <c r="C356" s="32">
        <v>44994</v>
      </c>
      <c r="D356" s="25">
        <v>70</v>
      </c>
      <c r="E356" t="str" cm="1">
        <f t="array" ref="E356">insertinto(A356:D356,$F$2:$G$5,"pr_Assignments_Results")</f>
        <v>insert into pr_Assignments_Results values ('20226221', 'T-14', '09-Mar-2023', 70);</v>
      </c>
      <c r="H356">
        <v>354</v>
      </c>
    </row>
    <row r="357" spans="1:8" x14ac:dyDescent="0.15">
      <c r="A357">
        <f t="shared" si="10"/>
        <v>20226221</v>
      </c>
      <c r="B357" t="str">
        <f t="shared" si="11"/>
        <v>T-15</v>
      </c>
      <c r="C357" s="32">
        <v>44955</v>
      </c>
      <c r="D357" s="25">
        <v>63</v>
      </c>
      <c r="E357" t="str" cm="1">
        <f t="array" ref="E357">insertinto(A357:D357,$F$2:$G$5,"pr_Assignments_Results")</f>
        <v>insert into pr_Assignments_Results values ('20226221', 'T-15', '29-Jan-2023', 63);</v>
      </c>
      <c r="H357">
        <v>355</v>
      </c>
    </row>
    <row r="358" spans="1:8" x14ac:dyDescent="0.15">
      <c r="A358">
        <f t="shared" si="10"/>
        <v>20226221</v>
      </c>
      <c r="B358" t="str">
        <f t="shared" si="11"/>
        <v>T-16</v>
      </c>
      <c r="C358" s="32">
        <v>44971</v>
      </c>
      <c r="D358" s="25">
        <v>68</v>
      </c>
      <c r="E358" t="str" cm="1">
        <f t="array" ref="E358">insertinto(A358:D358,$F$2:$G$5,"pr_Assignments_Results")</f>
        <v>insert into pr_Assignments_Results values ('20226221', 'T-16', '14-Feb-2023', 68);</v>
      </c>
      <c r="H358">
        <v>356</v>
      </c>
    </row>
    <row r="359" spans="1:8" x14ac:dyDescent="0.15">
      <c r="A359">
        <f t="shared" si="10"/>
        <v>20226221</v>
      </c>
      <c r="B359" t="str">
        <f t="shared" si="11"/>
        <v>T-17</v>
      </c>
      <c r="C359" s="32">
        <v>44986</v>
      </c>
      <c r="D359" s="25">
        <v>76</v>
      </c>
      <c r="E359" t="str" cm="1">
        <f t="array" ref="E359">insertinto(A359:D359,$F$2:$G$5,"pr_Assignments_Results")</f>
        <v>insert into pr_Assignments_Results values ('20226221', 'T-17', '01-Mar-2023', 76);</v>
      </c>
      <c r="H359">
        <v>357</v>
      </c>
    </row>
    <row r="360" spans="1:8" x14ac:dyDescent="0.15">
      <c r="A360">
        <f t="shared" si="10"/>
        <v>20226221</v>
      </c>
      <c r="B360" t="str">
        <f t="shared" si="11"/>
        <v>T-18</v>
      </c>
      <c r="C360" s="32">
        <v>44965</v>
      </c>
      <c r="D360" s="25">
        <v>73</v>
      </c>
      <c r="E360" t="str" cm="1">
        <f t="array" ref="E360">insertinto(A360:D360,$F$2:$G$5,"pr_Assignments_Results")</f>
        <v>insert into pr_Assignments_Results values ('20226221', 'T-18', '08-Feb-2023', 73);</v>
      </c>
      <c r="H360">
        <v>358</v>
      </c>
    </row>
    <row r="361" spans="1:8" x14ac:dyDescent="0.15">
      <c r="A361">
        <f t="shared" si="10"/>
        <v>20226221</v>
      </c>
      <c r="B361" t="str">
        <f t="shared" si="11"/>
        <v>T-19</v>
      </c>
      <c r="C361" s="32">
        <v>45045</v>
      </c>
      <c r="D361" s="25">
        <v>73</v>
      </c>
      <c r="E361" t="str" cm="1">
        <f t="array" ref="E361">insertinto(A361:D361,$F$2:$G$5,"pr_Assignments_Results")</f>
        <v>insert into pr_Assignments_Results values ('20226221', 'T-19', '29-Apr-2023', 73);</v>
      </c>
      <c r="H361">
        <v>359</v>
      </c>
    </row>
    <row r="362" spans="1:8" x14ac:dyDescent="0.15">
      <c r="A362">
        <f t="shared" si="10"/>
        <v>20226221</v>
      </c>
      <c r="B362" t="str">
        <f t="shared" si="11"/>
        <v>T-20</v>
      </c>
      <c r="C362" s="32">
        <v>45049</v>
      </c>
      <c r="D362" s="25">
        <v>74</v>
      </c>
      <c r="E362" t="str" cm="1">
        <f t="array" ref="E362">insertinto(A362:D362,$F$2:$G$5,"pr_Assignments_Results")</f>
        <v>insert into pr_Assignments_Results values ('20226221', 'T-20', '03-May-2023', 74);</v>
      </c>
      <c r="H362">
        <v>360</v>
      </c>
    </row>
    <row r="363" spans="1:8" x14ac:dyDescent="0.15">
      <c r="A363">
        <f t="shared" si="10"/>
        <v>20226221</v>
      </c>
      <c r="B363" t="str">
        <f t="shared" si="11"/>
        <v>T-21</v>
      </c>
      <c r="C363" s="32">
        <v>45064</v>
      </c>
      <c r="D363" s="25">
        <v>66</v>
      </c>
      <c r="E363" t="str" cm="1">
        <f t="array" ref="E363">insertinto(A363:D363,$F$2:$G$5,"pr_Assignments_Results")</f>
        <v>insert into pr_Assignments_Results values ('20226221', 'T-21', '18-May-2023', 66);</v>
      </c>
      <c r="H363">
        <v>361</v>
      </c>
    </row>
    <row r="364" spans="1:8" x14ac:dyDescent="0.15">
      <c r="A364">
        <f t="shared" si="10"/>
        <v>20226221</v>
      </c>
      <c r="B364" t="str">
        <f t="shared" si="11"/>
        <v>T-22</v>
      </c>
      <c r="C364" s="32">
        <v>45071</v>
      </c>
      <c r="D364" s="25">
        <v>75</v>
      </c>
      <c r="E364" t="str" cm="1">
        <f t="array" ref="E364">insertinto(A364:D364,$F$2:$G$5,"pr_Assignments_Results")</f>
        <v>insert into pr_Assignments_Results values ('20226221', 'T-22', '25-May-2023', 75);</v>
      </c>
      <c r="H364">
        <v>362</v>
      </c>
    </row>
    <row r="365" spans="1:8" x14ac:dyDescent="0.15">
      <c r="A365">
        <f t="shared" si="10"/>
        <v>20226221</v>
      </c>
      <c r="B365" t="str">
        <f t="shared" si="11"/>
        <v>T-23</v>
      </c>
      <c r="C365" s="32">
        <v>45204</v>
      </c>
      <c r="D365" s="25">
        <v>64</v>
      </c>
      <c r="E365" t="str" cm="1">
        <f t="array" ref="E365">insertinto(A365:D365,$F$2:$G$5,"pr_Assignments_Results")</f>
        <v>insert into pr_Assignments_Results values ('20226221', 'T-23', '05-Oct-2023', 64);</v>
      </c>
      <c r="H365">
        <v>363</v>
      </c>
    </row>
    <row r="366" spans="1:8" x14ac:dyDescent="0.15">
      <c r="A366">
        <f t="shared" si="10"/>
        <v>20226221</v>
      </c>
      <c r="B366" t="str">
        <f t="shared" si="11"/>
        <v>T-24</v>
      </c>
      <c r="C366" s="32">
        <v>45227</v>
      </c>
      <c r="D366" s="25">
        <v>67</v>
      </c>
      <c r="E366" t="str" cm="1">
        <f t="array" ref="E366">insertinto(A366:D366,$F$2:$G$5,"pr_Assignments_Results")</f>
        <v>insert into pr_Assignments_Results values ('20226221', 'T-24', '28-Oct-2023', 67);</v>
      </c>
      <c r="H366">
        <v>364</v>
      </c>
    </row>
    <row r="367" spans="1:8" x14ac:dyDescent="0.15">
      <c r="A367">
        <f t="shared" si="10"/>
        <v>20226221</v>
      </c>
      <c r="B367" t="str">
        <f t="shared" si="11"/>
        <v>T-25</v>
      </c>
      <c r="C367" s="32">
        <v>44891</v>
      </c>
      <c r="D367" s="25">
        <v>66</v>
      </c>
      <c r="E367" t="str" cm="1">
        <f t="array" ref="E367">insertinto(A367:D367,$F$2:$G$5,"pr_Assignments_Results")</f>
        <v>insert into pr_Assignments_Results values ('20226221', 'T-25', '26-Nov-2022', 66);</v>
      </c>
      <c r="H367">
        <v>365</v>
      </c>
    </row>
    <row r="368" spans="1:8" x14ac:dyDescent="0.15">
      <c r="A368">
        <f t="shared" si="10"/>
        <v>20226221</v>
      </c>
      <c r="B368" t="str">
        <f t="shared" si="11"/>
        <v>T-26</v>
      </c>
      <c r="C368" s="32">
        <v>45212</v>
      </c>
      <c r="D368" s="25">
        <v>76</v>
      </c>
      <c r="E368" t="str" cm="1">
        <f t="array" ref="E368">insertinto(A368:D368,$F$2:$G$5,"pr_Assignments_Results")</f>
        <v>insert into pr_Assignments_Results values ('20226221', 'T-26', '13-Oct-2023', 76);</v>
      </c>
      <c r="H368">
        <v>366</v>
      </c>
    </row>
    <row r="369" spans="1:8" x14ac:dyDescent="0.15">
      <c r="A369">
        <f t="shared" si="10"/>
        <v>20226221</v>
      </c>
      <c r="B369" t="str">
        <f t="shared" si="11"/>
        <v>T-27</v>
      </c>
      <c r="C369" s="32">
        <v>45231</v>
      </c>
      <c r="D369" s="25">
        <v>64</v>
      </c>
      <c r="E369" t="str" cm="1">
        <f t="array" ref="E369">insertinto(A369:D369,$F$2:$G$5,"pr_Assignments_Results")</f>
        <v>insert into pr_Assignments_Results values ('20226221', 'T-27', '01-Nov-2023', 64);</v>
      </c>
      <c r="H369">
        <v>367</v>
      </c>
    </row>
    <row r="370" spans="1:8" x14ac:dyDescent="0.15">
      <c r="A370">
        <f t="shared" si="10"/>
        <v>20226221</v>
      </c>
      <c r="B370" t="str">
        <f t="shared" si="11"/>
        <v>T-28</v>
      </c>
      <c r="C370" s="32">
        <v>45265</v>
      </c>
      <c r="D370" s="25">
        <v>70</v>
      </c>
      <c r="E370" t="str" cm="1">
        <f t="array" ref="E370">insertinto(A370:D370,$F$2:$G$5,"pr_Assignments_Results")</f>
        <v>insert into pr_Assignments_Results values ('20226221', 'T-28', '05-Dec-2023', 70);</v>
      </c>
      <c r="H370">
        <v>368</v>
      </c>
    </row>
    <row r="371" spans="1:8" x14ac:dyDescent="0.15">
      <c r="A371">
        <f t="shared" si="10"/>
        <v>20226221</v>
      </c>
      <c r="B371" t="str">
        <f t="shared" si="11"/>
        <v>T-29</v>
      </c>
      <c r="C371" s="32">
        <v>44950</v>
      </c>
      <c r="D371" s="25">
        <v>66</v>
      </c>
      <c r="E371" t="str" cm="1">
        <f t="array" ref="E371">insertinto(A371:D371,$F$2:$G$5,"pr_Assignments_Results")</f>
        <v>insert into pr_Assignments_Results values ('20226221', 'T-29', '24-Jan-2023', 66);</v>
      </c>
      <c r="H371">
        <v>369</v>
      </c>
    </row>
    <row r="372" spans="1:8" x14ac:dyDescent="0.15">
      <c r="A372">
        <f t="shared" si="10"/>
        <v>20226221</v>
      </c>
      <c r="B372" t="str">
        <f t="shared" si="11"/>
        <v>T-30</v>
      </c>
      <c r="C372" s="32">
        <v>45214</v>
      </c>
      <c r="D372" s="25">
        <v>68</v>
      </c>
      <c r="E372" t="str" cm="1">
        <f t="array" ref="E372">insertinto(A372:D372,$F$2:$G$5,"pr_Assignments_Results")</f>
        <v>insert into pr_Assignments_Results values ('20226221', 'T-30', '15-Oct-2023', 68);</v>
      </c>
      <c r="H372">
        <v>370</v>
      </c>
    </row>
    <row r="373" spans="1:8" x14ac:dyDescent="0.15">
      <c r="A373">
        <f t="shared" si="10"/>
        <v>20226221</v>
      </c>
      <c r="B373" t="str">
        <f t="shared" si="11"/>
        <v>T-31</v>
      </c>
      <c r="C373" s="32">
        <v>45226</v>
      </c>
      <c r="D373" s="25">
        <v>66</v>
      </c>
      <c r="E373" t="str" cm="1">
        <f t="array" ref="E373">insertinto(A373:D373,$F$2:$G$5,"pr_Assignments_Results")</f>
        <v>insert into pr_Assignments_Results values ('20226221', 'T-31', '27-Oct-2023', 66);</v>
      </c>
      <c r="H373">
        <v>371</v>
      </c>
    </row>
    <row r="374" spans="1:8" x14ac:dyDescent="0.15">
      <c r="A374">
        <f t="shared" si="10"/>
        <v>20226221</v>
      </c>
      <c r="B374" t="str">
        <f t="shared" si="11"/>
        <v>T-32</v>
      </c>
      <c r="C374" s="32">
        <v>45247</v>
      </c>
      <c r="D374" s="25">
        <v>59</v>
      </c>
      <c r="E374" t="str" cm="1">
        <f t="array" ref="E374">insertinto(A374:D374,$F$2:$G$5,"pr_Assignments_Results")</f>
        <v>insert into pr_Assignments_Results values ('20226221', 'T-32', '17-Nov-2023', 59);</v>
      </c>
      <c r="H374">
        <v>372</v>
      </c>
    </row>
    <row r="375" spans="1:8" x14ac:dyDescent="0.15">
      <c r="A375">
        <f t="shared" si="10"/>
        <v>20226221</v>
      </c>
      <c r="B375" t="str">
        <f t="shared" si="11"/>
        <v>T-33</v>
      </c>
      <c r="C375" s="32">
        <v>45262</v>
      </c>
      <c r="D375" s="25">
        <v>63</v>
      </c>
      <c r="E375" t="str" cm="1">
        <f t="array" ref="E375">insertinto(A375:D375,$F$2:$G$5,"pr_Assignments_Results")</f>
        <v>insert into pr_Assignments_Results values ('20226221', 'T-33', '02-Dec-2023', 63);</v>
      </c>
      <c r="H375">
        <v>373</v>
      </c>
    </row>
    <row r="376" spans="1:8" x14ac:dyDescent="0.15">
      <c r="A376">
        <f t="shared" si="10"/>
        <v>20224946</v>
      </c>
      <c r="B376" t="str">
        <f t="shared" si="11"/>
        <v>T-00</v>
      </c>
      <c r="C376" s="32">
        <v>44844</v>
      </c>
      <c r="D376" s="25">
        <v>69</v>
      </c>
      <c r="E376" t="str" cm="1">
        <f t="array" ref="E376">insertinto(A376:D376,$F$2:$G$5,"pr_Assignments_Results")</f>
        <v>insert into pr_Assignments_Results values ('20224946', 'T-00', '10-Oct-2022', 69);</v>
      </c>
      <c r="H376">
        <v>374</v>
      </c>
    </row>
    <row r="377" spans="1:8" x14ac:dyDescent="0.15">
      <c r="A377">
        <f t="shared" si="10"/>
        <v>20224946</v>
      </c>
      <c r="B377" t="str">
        <f t="shared" si="11"/>
        <v>T-01</v>
      </c>
      <c r="C377" s="32">
        <v>44848</v>
      </c>
      <c r="D377" s="25">
        <v>71</v>
      </c>
      <c r="E377" t="str" cm="1">
        <f t="array" ref="E377">insertinto(A377:D377,$F$2:$G$5,"pr_Assignments_Results")</f>
        <v>insert into pr_Assignments_Results values ('20224946', 'T-01', '14-Oct-2022', 71);</v>
      </c>
      <c r="H377">
        <v>375</v>
      </c>
    </row>
    <row r="378" spans="1:8" x14ac:dyDescent="0.15">
      <c r="A378">
        <f t="shared" si="10"/>
        <v>20224946</v>
      </c>
      <c r="B378" t="str">
        <f t="shared" si="11"/>
        <v>T-02</v>
      </c>
      <c r="C378" s="32">
        <v>44875</v>
      </c>
      <c r="D378" s="25">
        <v>73</v>
      </c>
      <c r="E378" t="str" cm="1">
        <f t="array" ref="E378">insertinto(A378:D378,$F$2:$G$5,"pr_Assignments_Results")</f>
        <v>insert into pr_Assignments_Results values ('20224946', 'T-02', '10-Nov-2022', 73);</v>
      </c>
      <c r="H378">
        <v>376</v>
      </c>
    </row>
    <row r="379" spans="1:8" x14ac:dyDescent="0.15">
      <c r="A379">
        <f t="shared" si="10"/>
        <v>20224946</v>
      </c>
      <c r="B379" t="str">
        <f t="shared" si="11"/>
        <v>T-03</v>
      </c>
      <c r="C379" s="32">
        <v>44882</v>
      </c>
      <c r="D379" s="25">
        <v>73</v>
      </c>
      <c r="E379" t="str" cm="1">
        <f t="array" ref="E379">insertinto(A379:D379,$F$2:$G$5,"pr_Assignments_Results")</f>
        <v>insert into pr_Assignments_Results values ('20224946', 'T-03', '17-Nov-2022', 73);</v>
      </c>
      <c r="H379">
        <v>377</v>
      </c>
    </row>
    <row r="380" spans="1:8" x14ac:dyDescent="0.15">
      <c r="A380">
        <f t="shared" si="10"/>
        <v>20224946</v>
      </c>
      <c r="B380" t="str">
        <f t="shared" si="11"/>
        <v>T-04</v>
      </c>
      <c r="C380" s="32">
        <v>44854</v>
      </c>
      <c r="D380" s="25">
        <v>74</v>
      </c>
      <c r="E380" t="str" cm="1">
        <f t="array" ref="E380">insertinto(A380:D380,$F$2:$G$5,"pr_Assignments_Results")</f>
        <v>insert into pr_Assignments_Results values ('20224946', 'T-04', '20-Oct-2022', 74);</v>
      </c>
      <c r="H380">
        <v>378</v>
      </c>
    </row>
    <row r="381" spans="1:8" x14ac:dyDescent="0.15">
      <c r="A381">
        <f t="shared" si="10"/>
        <v>20224946</v>
      </c>
      <c r="B381" t="str">
        <f t="shared" si="11"/>
        <v>T-05</v>
      </c>
      <c r="C381" s="32">
        <v>44838</v>
      </c>
      <c r="D381" s="25">
        <v>76</v>
      </c>
      <c r="E381" t="str" cm="1">
        <f t="array" ref="E381">insertinto(A381:D381,$F$2:$G$5,"pr_Assignments_Results")</f>
        <v>insert into pr_Assignments_Results values ('20224946', 'T-05', '04-Oct-2022', 76);</v>
      </c>
      <c r="H381">
        <v>379</v>
      </c>
    </row>
    <row r="382" spans="1:8" x14ac:dyDescent="0.15">
      <c r="A382">
        <f t="shared" si="10"/>
        <v>20224946</v>
      </c>
      <c r="B382" t="str">
        <f t="shared" si="11"/>
        <v>T-06</v>
      </c>
      <c r="C382" s="32">
        <v>44892</v>
      </c>
      <c r="D382" s="25">
        <v>67</v>
      </c>
      <c r="E382" t="str" cm="1">
        <f t="array" ref="E382">insertinto(A382:D382,$F$2:$G$5,"pr_Assignments_Results")</f>
        <v>insert into pr_Assignments_Results values ('20224946', 'T-06', '27-Nov-2022', 67);</v>
      </c>
      <c r="H382">
        <v>380</v>
      </c>
    </row>
    <row r="383" spans="1:8" x14ac:dyDescent="0.15">
      <c r="A383">
        <f t="shared" si="10"/>
        <v>20224946</v>
      </c>
      <c r="B383" t="str">
        <f t="shared" si="11"/>
        <v>T-07</v>
      </c>
      <c r="C383" s="32">
        <v>44844</v>
      </c>
      <c r="D383" s="25">
        <v>71</v>
      </c>
      <c r="E383" t="str" cm="1">
        <f t="array" ref="E383">insertinto(A383:D383,$F$2:$G$5,"pr_Assignments_Results")</f>
        <v>insert into pr_Assignments_Results values ('20224946', 'T-07', '10-Oct-2022', 71);</v>
      </c>
      <c r="H383">
        <v>381</v>
      </c>
    </row>
    <row r="384" spans="1:8" x14ac:dyDescent="0.15">
      <c r="A384">
        <f t="shared" si="10"/>
        <v>20224946</v>
      </c>
      <c r="B384" t="str">
        <f t="shared" si="11"/>
        <v>T-08</v>
      </c>
      <c r="C384" s="32">
        <v>44856</v>
      </c>
      <c r="D384" s="25">
        <v>65</v>
      </c>
      <c r="E384" t="str" cm="1">
        <f t="array" ref="E384">insertinto(A384:D384,$F$2:$G$5,"pr_Assignments_Results")</f>
        <v>insert into pr_Assignments_Results values ('20224946', 'T-08', '22-Oct-2022', 65);</v>
      </c>
      <c r="H384">
        <v>382</v>
      </c>
    </row>
    <row r="385" spans="1:8" x14ac:dyDescent="0.15">
      <c r="A385">
        <f t="shared" si="10"/>
        <v>20224946</v>
      </c>
      <c r="B385" t="str">
        <f t="shared" si="11"/>
        <v>T-09</v>
      </c>
      <c r="C385" s="32">
        <v>44879</v>
      </c>
      <c r="D385" s="25">
        <v>69</v>
      </c>
      <c r="E385" t="str" cm="1">
        <f t="array" ref="E385">insertinto(A385:D385,$F$2:$G$5,"pr_Assignments_Results")</f>
        <v>insert into pr_Assignments_Results values ('20224946', 'T-09', '14-Nov-2022', 69);</v>
      </c>
      <c r="H385">
        <v>383</v>
      </c>
    </row>
    <row r="386" spans="1:8" x14ac:dyDescent="0.15">
      <c r="A386">
        <f t="shared" ref="A386:A449" si="12">INDEX($I$2:$I$51,INT(H386/34)+1)</f>
        <v>20224946</v>
      </c>
      <c r="B386" t="str">
        <f t="shared" ref="B386:B449" si="13">INDEX($J$2:$J$35,MOD(H386,34)+1)</f>
        <v>T-10</v>
      </c>
      <c r="C386" s="32">
        <v>44893</v>
      </c>
      <c r="D386" s="25">
        <v>70</v>
      </c>
      <c r="E386" t="str" cm="1">
        <f t="array" ref="E386">insertinto(A386:D386,$F$2:$G$5,"pr_Assignments_Results")</f>
        <v>insert into pr_Assignments_Results values ('20224946', 'T-10', '28-Nov-2022', 70);</v>
      </c>
      <c r="H386">
        <v>384</v>
      </c>
    </row>
    <row r="387" spans="1:8" x14ac:dyDescent="0.15">
      <c r="A387">
        <f t="shared" si="12"/>
        <v>20224946</v>
      </c>
      <c r="B387" t="str">
        <f t="shared" si="13"/>
        <v>T-11</v>
      </c>
      <c r="C387" s="32">
        <v>44954</v>
      </c>
      <c r="D387" s="25">
        <v>56</v>
      </c>
      <c r="E387" t="str" cm="1">
        <f t="array" ref="E387">insertinto(A387:D387,$F$2:$G$5,"pr_Assignments_Results")</f>
        <v>insert into pr_Assignments_Results values ('20224946', 'T-11', '28-Jan-2023', 56);</v>
      </c>
      <c r="H387">
        <v>385</v>
      </c>
    </row>
    <row r="388" spans="1:8" x14ac:dyDescent="0.15">
      <c r="A388">
        <f t="shared" si="12"/>
        <v>20224946</v>
      </c>
      <c r="B388" t="str">
        <f t="shared" si="13"/>
        <v>T-12</v>
      </c>
      <c r="C388" s="32">
        <v>44972</v>
      </c>
      <c r="D388" s="25">
        <v>61</v>
      </c>
      <c r="E388" t="str" cm="1">
        <f t="array" ref="E388">insertinto(A388:D388,$F$2:$G$5,"pr_Assignments_Results")</f>
        <v>insert into pr_Assignments_Results values ('20224946', 'T-12', '15-Feb-2023', 61);</v>
      </c>
      <c r="H388">
        <v>386</v>
      </c>
    </row>
    <row r="389" spans="1:8" x14ac:dyDescent="0.15">
      <c r="A389">
        <f t="shared" si="12"/>
        <v>20224946</v>
      </c>
      <c r="B389" t="str">
        <f t="shared" si="13"/>
        <v>T-13</v>
      </c>
      <c r="C389" s="32">
        <v>44985</v>
      </c>
      <c r="D389" s="25">
        <v>61</v>
      </c>
      <c r="E389" t="str" cm="1">
        <f t="array" ref="E389">insertinto(A389:D389,$F$2:$G$5,"pr_Assignments_Results")</f>
        <v>insert into pr_Assignments_Results values ('20224946', 'T-13', '28-Feb-2023', 61);</v>
      </c>
      <c r="H389">
        <v>387</v>
      </c>
    </row>
    <row r="390" spans="1:8" x14ac:dyDescent="0.15">
      <c r="A390">
        <f t="shared" si="12"/>
        <v>20224946</v>
      </c>
      <c r="B390" t="str">
        <f t="shared" si="13"/>
        <v>T-14</v>
      </c>
      <c r="C390" s="32">
        <v>44996</v>
      </c>
      <c r="D390" s="25">
        <v>59</v>
      </c>
      <c r="E390" t="str" cm="1">
        <f t="array" ref="E390">insertinto(A390:D390,$F$2:$G$5,"pr_Assignments_Results")</f>
        <v>insert into pr_Assignments_Results values ('20224946', 'T-14', '11-Mar-2023', 59);</v>
      </c>
      <c r="H390">
        <v>388</v>
      </c>
    </row>
    <row r="391" spans="1:8" x14ac:dyDescent="0.15">
      <c r="A391">
        <f t="shared" si="12"/>
        <v>20224946</v>
      </c>
      <c r="B391" t="str">
        <f t="shared" si="13"/>
        <v>T-15</v>
      </c>
      <c r="C391" s="32">
        <v>44957</v>
      </c>
      <c r="D391" s="25">
        <v>73</v>
      </c>
      <c r="E391" t="str" cm="1">
        <f t="array" ref="E391">insertinto(A391:D391,$F$2:$G$5,"pr_Assignments_Results")</f>
        <v>insert into pr_Assignments_Results values ('20224946', 'T-15', '31-Jan-2023', 73);</v>
      </c>
      <c r="H391">
        <v>389</v>
      </c>
    </row>
    <row r="392" spans="1:8" x14ac:dyDescent="0.15">
      <c r="A392">
        <f t="shared" si="12"/>
        <v>20224946</v>
      </c>
      <c r="B392" t="str">
        <f t="shared" si="13"/>
        <v>T-16</v>
      </c>
      <c r="C392" s="32">
        <v>44972</v>
      </c>
      <c r="D392" s="25">
        <v>71</v>
      </c>
      <c r="E392" t="str" cm="1">
        <f t="array" ref="E392">insertinto(A392:D392,$F$2:$G$5,"pr_Assignments_Results")</f>
        <v>insert into pr_Assignments_Results values ('20224946', 'T-16', '15-Feb-2023', 71);</v>
      </c>
      <c r="H392">
        <v>390</v>
      </c>
    </row>
    <row r="393" spans="1:8" x14ac:dyDescent="0.15">
      <c r="A393">
        <f t="shared" si="12"/>
        <v>20224946</v>
      </c>
      <c r="B393" t="str">
        <f t="shared" si="13"/>
        <v>T-17</v>
      </c>
      <c r="C393" s="32">
        <v>44986</v>
      </c>
      <c r="D393" s="25">
        <v>63</v>
      </c>
      <c r="E393" t="str" cm="1">
        <f t="array" ref="E393">insertinto(A393:D393,$F$2:$G$5,"pr_Assignments_Results")</f>
        <v>insert into pr_Assignments_Results values ('20224946', 'T-17', '01-Mar-2023', 63);</v>
      </c>
      <c r="H393">
        <v>391</v>
      </c>
    </row>
    <row r="394" spans="1:8" x14ac:dyDescent="0.15">
      <c r="A394">
        <f t="shared" si="12"/>
        <v>20224946</v>
      </c>
      <c r="B394" t="str">
        <f t="shared" si="13"/>
        <v>T-18</v>
      </c>
      <c r="C394" s="32">
        <v>44991</v>
      </c>
      <c r="D394" s="25">
        <v>74</v>
      </c>
      <c r="E394" t="str" cm="1">
        <f t="array" ref="E394">insertinto(A394:D394,$F$2:$G$5,"pr_Assignments_Results")</f>
        <v>insert into pr_Assignments_Results values ('20224946', 'T-18', '06-Mar-2023', 74);</v>
      </c>
      <c r="H394">
        <v>392</v>
      </c>
    </row>
    <row r="395" spans="1:8" x14ac:dyDescent="0.15">
      <c r="A395">
        <f t="shared" si="12"/>
        <v>20224946</v>
      </c>
      <c r="B395" t="str">
        <f t="shared" si="13"/>
        <v>T-19</v>
      </c>
      <c r="C395" s="32">
        <v>45048</v>
      </c>
      <c r="D395" s="25">
        <v>69</v>
      </c>
      <c r="E395" t="str" cm="1">
        <f t="array" ref="E395">insertinto(A395:D395,$F$2:$G$5,"pr_Assignments_Results")</f>
        <v>insert into pr_Assignments_Results values ('20224946', 'T-19', '02-May-2023', 69);</v>
      </c>
      <c r="H395">
        <v>393</v>
      </c>
    </row>
    <row r="396" spans="1:8" x14ac:dyDescent="0.15">
      <c r="A396">
        <f t="shared" si="12"/>
        <v>20224946</v>
      </c>
      <c r="B396" t="str">
        <f t="shared" si="13"/>
        <v>T-20</v>
      </c>
      <c r="C396" s="32">
        <v>45055</v>
      </c>
      <c r="D396" s="25">
        <v>55</v>
      </c>
      <c r="E396" t="str" cm="1">
        <f t="array" ref="E396">insertinto(A396:D396,$F$2:$G$5,"pr_Assignments_Results")</f>
        <v>insert into pr_Assignments_Results values ('20224946', 'T-20', '09-May-2023', 55);</v>
      </c>
      <c r="H396">
        <v>394</v>
      </c>
    </row>
    <row r="397" spans="1:8" x14ac:dyDescent="0.15">
      <c r="A397">
        <f t="shared" si="12"/>
        <v>20224946</v>
      </c>
      <c r="B397" t="str">
        <f t="shared" si="13"/>
        <v>T-21</v>
      </c>
      <c r="C397" s="32">
        <v>45061</v>
      </c>
      <c r="D397" s="25">
        <v>70</v>
      </c>
      <c r="E397" t="str" cm="1">
        <f t="array" ref="E397">insertinto(A397:D397,$F$2:$G$5,"pr_Assignments_Results")</f>
        <v>insert into pr_Assignments_Results values ('20224946', 'T-21', '15-May-2023', 70);</v>
      </c>
      <c r="H397">
        <v>395</v>
      </c>
    </row>
    <row r="398" spans="1:8" x14ac:dyDescent="0.15">
      <c r="A398">
        <f t="shared" si="12"/>
        <v>20224946</v>
      </c>
      <c r="B398" t="str">
        <f t="shared" si="13"/>
        <v>T-22</v>
      </c>
      <c r="C398" s="32">
        <v>45072</v>
      </c>
      <c r="D398" s="25">
        <v>63</v>
      </c>
      <c r="E398" t="str" cm="1">
        <f t="array" ref="E398">insertinto(A398:D398,$F$2:$G$5,"pr_Assignments_Results")</f>
        <v>insert into pr_Assignments_Results values ('20224946', 'T-22', '26-May-2023', 63);</v>
      </c>
      <c r="H398">
        <v>396</v>
      </c>
    </row>
    <row r="399" spans="1:8" x14ac:dyDescent="0.15">
      <c r="A399">
        <f t="shared" si="12"/>
        <v>20224946</v>
      </c>
      <c r="B399" t="str">
        <f t="shared" si="13"/>
        <v>T-23</v>
      </c>
      <c r="C399" s="32">
        <v>45205</v>
      </c>
      <c r="D399" s="25">
        <v>73</v>
      </c>
      <c r="E399" t="str" cm="1">
        <f t="array" ref="E399">insertinto(A399:D399,$F$2:$G$5,"pr_Assignments_Results")</f>
        <v>insert into pr_Assignments_Results values ('20224946', 'T-23', '06-Oct-2023', 73);</v>
      </c>
      <c r="H399">
        <v>397</v>
      </c>
    </row>
    <row r="400" spans="1:8" x14ac:dyDescent="0.15">
      <c r="A400">
        <f t="shared" si="12"/>
        <v>20224946</v>
      </c>
      <c r="B400" t="str">
        <f t="shared" si="13"/>
        <v>T-24</v>
      </c>
      <c r="C400" s="32">
        <v>45224</v>
      </c>
      <c r="D400" s="25">
        <v>65</v>
      </c>
      <c r="E400" t="str" cm="1">
        <f t="array" ref="E400">insertinto(A400:D400,$F$2:$G$5,"pr_Assignments_Results")</f>
        <v>insert into pr_Assignments_Results values ('20224946', 'T-24', '25-Oct-2023', 65);</v>
      </c>
      <c r="H400">
        <v>398</v>
      </c>
    </row>
    <row r="401" spans="1:8" x14ac:dyDescent="0.15">
      <c r="A401">
        <f t="shared" si="12"/>
        <v>20224946</v>
      </c>
      <c r="B401" t="str">
        <f t="shared" si="13"/>
        <v>T-25</v>
      </c>
      <c r="C401" s="32">
        <v>44892</v>
      </c>
      <c r="D401" s="25">
        <v>67</v>
      </c>
      <c r="E401" t="str" cm="1">
        <f t="array" ref="E401">insertinto(A401:D401,$F$2:$G$5,"pr_Assignments_Results")</f>
        <v>insert into pr_Assignments_Results values ('20224946', 'T-25', '27-Nov-2022', 67);</v>
      </c>
      <c r="H401">
        <v>399</v>
      </c>
    </row>
    <row r="402" spans="1:8" x14ac:dyDescent="0.15">
      <c r="A402">
        <f t="shared" si="12"/>
        <v>20224946</v>
      </c>
      <c r="B402" t="str">
        <f t="shared" si="13"/>
        <v>T-26</v>
      </c>
      <c r="C402" s="32">
        <v>45213</v>
      </c>
      <c r="D402" s="25">
        <v>72</v>
      </c>
      <c r="E402" t="str" cm="1">
        <f t="array" ref="E402">insertinto(A402:D402,$F$2:$G$5,"pr_Assignments_Results")</f>
        <v>insert into pr_Assignments_Results values ('20224946', 'T-26', '14-Oct-2023', 72);</v>
      </c>
      <c r="H402">
        <v>400</v>
      </c>
    </row>
    <row r="403" spans="1:8" x14ac:dyDescent="0.15">
      <c r="A403">
        <f t="shared" si="12"/>
        <v>20224946</v>
      </c>
      <c r="B403" t="str">
        <f t="shared" si="13"/>
        <v>T-27</v>
      </c>
      <c r="C403" s="32">
        <v>45232</v>
      </c>
      <c r="D403" s="25">
        <v>59</v>
      </c>
      <c r="E403" t="str" cm="1">
        <f t="array" ref="E403">insertinto(A403:D403,$F$2:$G$5,"pr_Assignments_Results")</f>
        <v>insert into pr_Assignments_Results values ('20224946', 'T-27', '02-Nov-2023', 59);</v>
      </c>
      <c r="H403">
        <v>401</v>
      </c>
    </row>
    <row r="404" spans="1:8" x14ac:dyDescent="0.15">
      <c r="A404">
        <f t="shared" si="12"/>
        <v>20224946</v>
      </c>
      <c r="B404" t="str">
        <f t="shared" si="13"/>
        <v>T-28</v>
      </c>
      <c r="C404" s="32">
        <v>45263</v>
      </c>
      <c r="D404" s="25">
        <v>56</v>
      </c>
      <c r="E404" t="str" cm="1">
        <f t="array" ref="E404">insertinto(A404:D404,$F$2:$G$5,"pr_Assignments_Results")</f>
        <v>insert into pr_Assignments_Results values ('20224946', 'T-28', '03-Dec-2023', 56);</v>
      </c>
      <c r="H404">
        <v>402</v>
      </c>
    </row>
    <row r="405" spans="1:8" x14ac:dyDescent="0.15">
      <c r="A405">
        <f t="shared" si="12"/>
        <v>20224946</v>
      </c>
      <c r="B405" t="str">
        <f t="shared" si="13"/>
        <v>T-29</v>
      </c>
      <c r="C405" s="32">
        <v>44951</v>
      </c>
      <c r="D405" s="25">
        <v>73</v>
      </c>
      <c r="E405" t="str" cm="1">
        <f t="array" ref="E405">insertinto(A405:D405,$F$2:$G$5,"pr_Assignments_Results")</f>
        <v>insert into pr_Assignments_Results values ('20224946', 'T-29', '25-Jan-2023', 73);</v>
      </c>
      <c r="H405">
        <v>403</v>
      </c>
    </row>
    <row r="406" spans="1:8" x14ac:dyDescent="0.15">
      <c r="A406">
        <f t="shared" si="12"/>
        <v>20224946</v>
      </c>
      <c r="B406" t="str">
        <f t="shared" si="13"/>
        <v>T-30</v>
      </c>
      <c r="C406" s="32">
        <v>45213</v>
      </c>
      <c r="D406" s="25">
        <v>61</v>
      </c>
      <c r="E406" t="str" cm="1">
        <f t="array" ref="E406">insertinto(A406:D406,$F$2:$G$5,"pr_Assignments_Results")</f>
        <v>insert into pr_Assignments_Results values ('20224946', 'T-30', '14-Oct-2023', 61);</v>
      </c>
      <c r="H406">
        <v>404</v>
      </c>
    </row>
    <row r="407" spans="1:8" x14ac:dyDescent="0.15">
      <c r="A407">
        <f t="shared" si="12"/>
        <v>20224946</v>
      </c>
      <c r="B407" t="str">
        <f t="shared" si="13"/>
        <v>T-31</v>
      </c>
      <c r="C407" s="32">
        <v>45230</v>
      </c>
      <c r="D407" s="25">
        <v>72</v>
      </c>
      <c r="E407" t="str" cm="1">
        <f t="array" ref="E407">insertinto(A407:D407,$F$2:$G$5,"pr_Assignments_Results")</f>
        <v>insert into pr_Assignments_Results values ('20224946', 'T-31', '31-Oct-2023', 72);</v>
      </c>
      <c r="H407">
        <v>405</v>
      </c>
    </row>
    <row r="408" spans="1:8" x14ac:dyDescent="0.15">
      <c r="A408">
        <f t="shared" si="12"/>
        <v>20224946</v>
      </c>
      <c r="B408" t="str">
        <f t="shared" si="13"/>
        <v>T-32</v>
      </c>
      <c r="C408" s="32">
        <v>45243</v>
      </c>
      <c r="D408" s="25">
        <v>61</v>
      </c>
      <c r="E408" t="str" cm="1">
        <f t="array" ref="E408">insertinto(A408:D408,$F$2:$G$5,"pr_Assignments_Results")</f>
        <v>insert into pr_Assignments_Results values ('20224946', 'T-32', '13-Nov-2023', 61);</v>
      </c>
      <c r="H408">
        <v>406</v>
      </c>
    </row>
    <row r="409" spans="1:8" x14ac:dyDescent="0.15">
      <c r="A409">
        <f t="shared" si="12"/>
        <v>20224946</v>
      </c>
      <c r="B409" t="str">
        <f t="shared" si="13"/>
        <v>T-33</v>
      </c>
      <c r="C409" s="32">
        <v>45257</v>
      </c>
      <c r="D409" s="25">
        <v>74</v>
      </c>
      <c r="E409" t="str" cm="1">
        <f t="array" ref="E409">insertinto(A409:D409,$F$2:$G$5,"pr_Assignments_Results")</f>
        <v>insert into pr_Assignments_Results values ('20224946', 'T-33', '27-Nov-2023', 74);</v>
      </c>
      <c r="H409">
        <v>407</v>
      </c>
    </row>
    <row r="410" spans="1:8" x14ac:dyDescent="0.15">
      <c r="A410">
        <f t="shared" si="12"/>
        <v>20227782</v>
      </c>
      <c r="B410" t="str">
        <f t="shared" si="13"/>
        <v>T-00</v>
      </c>
      <c r="C410" s="32">
        <v>44845</v>
      </c>
      <c r="D410" s="25">
        <v>61</v>
      </c>
      <c r="E410" t="str" cm="1">
        <f t="array" ref="E410">insertinto(A410:D410,$F$2:$G$5,"pr_Assignments_Results")</f>
        <v>insert into pr_Assignments_Results values ('20227782', 'T-00', '11-Oct-2022', 61);</v>
      </c>
      <c r="H410">
        <v>408</v>
      </c>
    </row>
    <row r="411" spans="1:8" x14ac:dyDescent="0.15">
      <c r="A411">
        <f t="shared" si="12"/>
        <v>20227782</v>
      </c>
      <c r="B411" t="str">
        <f t="shared" si="13"/>
        <v>T-01</v>
      </c>
      <c r="C411" s="32">
        <v>44852</v>
      </c>
      <c r="D411" s="25">
        <v>73</v>
      </c>
      <c r="E411" t="str" cm="1">
        <f t="array" ref="E411">insertinto(A411:D411,$F$2:$G$5,"pr_Assignments_Results")</f>
        <v>insert into pr_Assignments_Results values ('20227782', 'T-01', '18-Oct-2022', 73);</v>
      </c>
      <c r="H411">
        <v>409</v>
      </c>
    </row>
    <row r="412" spans="1:8" x14ac:dyDescent="0.15">
      <c r="A412">
        <f t="shared" si="12"/>
        <v>20227782</v>
      </c>
      <c r="B412" t="str">
        <f t="shared" si="13"/>
        <v>T-02</v>
      </c>
      <c r="C412" s="32">
        <v>44877</v>
      </c>
      <c r="D412" s="25">
        <v>55</v>
      </c>
      <c r="E412" t="str" cm="1">
        <f t="array" ref="E412">insertinto(A412:D412,$F$2:$G$5,"pr_Assignments_Results")</f>
        <v>insert into pr_Assignments_Results values ('20227782', 'T-02', '12-Nov-2022', 55);</v>
      </c>
      <c r="H412">
        <v>410</v>
      </c>
    </row>
    <row r="413" spans="1:8" x14ac:dyDescent="0.15">
      <c r="A413">
        <f t="shared" si="12"/>
        <v>20227782</v>
      </c>
      <c r="B413" t="str">
        <f t="shared" si="13"/>
        <v>T-03</v>
      </c>
      <c r="C413" s="32">
        <v>44880</v>
      </c>
      <c r="D413" s="25">
        <v>71</v>
      </c>
      <c r="E413" t="str" cm="1">
        <f t="array" ref="E413">insertinto(A413:D413,$F$2:$G$5,"pr_Assignments_Results")</f>
        <v>insert into pr_Assignments_Results values ('20227782', 'T-03', '15-Nov-2022', 71);</v>
      </c>
      <c r="H413">
        <v>411</v>
      </c>
    </row>
    <row r="414" spans="1:8" x14ac:dyDescent="0.15">
      <c r="A414">
        <f t="shared" si="12"/>
        <v>20227782</v>
      </c>
      <c r="B414" t="str">
        <f t="shared" si="13"/>
        <v>T-04</v>
      </c>
      <c r="C414" s="32">
        <v>44852</v>
      </c>
      <c r="D414" s="25">
        <v>56</v>
      </c>
      <c r="E414" t="str" cm="1">
        <f t="array" ref="E414">insertinto(A414:D414,$F$2:$G$5,"pr_Assignments_Results")</f>
        <v>insert into pr_Assignments_Results values ('20227782', 'T-04', '18-Oct-2022', 56);</v>
      </c>
      <c r="H414">
        <v>412</v>
      </c>
    </row>
    <row r="415" spans="1:8" x14ac:dyDescent="0.15">
      <c r="A415">
        <f t="shared" si="12"/>
        <v>20227782</v>
      </c>
      <c r="B415" t="str">
        <f t="shared" si="13"/>
        <v>T-05</v>
      </c>
      <c r="C415" s="32">
        <v>44837</v>
      </c>
      <c r="D415" s="25">
        <v>60</v>
      </c>
      <c r="E415" t="str" cm="1">
        <f t="array" ref="E415">insertinto(A415:D415,$F$2:$G$5,"pr_Assignments_Results")</f>
        <v>insert into pr_Assignments_Results values ('20227782', 'T-05', '03-Oct-2022', 60);</v>
      </c>
      <c r="H415">
        <v>413</v>
      </c>
    </row>
    <row r="416" spans="1:8" x14ac:dyDescent="0.15">
      <c r="A416">
        <f t="shared" si="12"/>
        <v>20227782</v>
      </c>
      <c r="B416" t="str">
        <f t="shared" si="13"/>
        <v>T-06</v>
      </c>
      <c r="C416" s="32">
        <v>44892</v>
      </c>
      <c r="D416" s="25">
        <v>72</v>
      </c>
      <c r="E416" t="str" cm="1">
        <f t="array" ref="E416">insertinto(A416:D416,$F$2:$G$5,"pr_Assignments_Results")</f>
        <v>insert into pr_Assignments_Results values ('20227782', 'T-06', '27-Nov-2022', 72);</v>
      </c>
      <c r="H416">
        <v>414</v>
      </c>
    </row>
    <row r="417" spans="1:8" x14ac:dyDescent="0.15">
      <c r="A417">
        <f t="shared" si="12"/>
        <v>20227782</v>
      </c>
      <c r="B417" t="str">
        <f t="shared" si="13"/>
        <v>T-07</v>
      </c>
      <c r="C417" s="32">
        <v>44844</v>
      </c>
      <c r="D417" s="25">
        <v>57</v>
      </c>
      <c r="E417" t="str" cm="1">
        <f t="array" ref="E417">insertinto(A417:D417,$F$2:$G$5,"pr_Assignments_Results")</f>
        <v>insert into pr_Assignments_Results values ('20227782', 'T-07', '10-Oct-2022', 57);</v>
      </c>
      <c r="H417">
        <v>415</v>
      </c>
    </row>
    <row r="418" spans="1:8" x14ac:dyDescent="0.15">
      <c r="A418">
        <f t="shared" si="12"/>
        <v>20227782</v>
      </c>
      <c r="B418" t="str">
        <f t="shared" si="13"/>
        <v>T-08</v>
      </c>
      <c r="C418" s="32">
        <v>44852</v>
      </c>
      <c r="D418" s="25">
        <v>59</v>
      </c>
      <c r="E418" t="str" cm="1">
        <f t="array" ref="E418">insertinto(A418:D418,$F$2:$G$5,"pr_Assignments_Results")</f>
        <v>insert into pr_Assignments_Results values ('20227782', 'T-08', '18-Oct-2022', 59);</v>
      </c>
      <c r="H418">
        <v>416</v>
      </c>
    </row>
    <row r="419" spans="1:8" x14ac:dyDescent="0.15">
      <c r="A419">
        <f t="shared" si="12"/>
        <v>20227782</v>
      </c>
      <c r="B419" t="str">
        <f t="shared" si="13"/>
        <v>T-09</v>
      </c>
      <c r="C419" s="32">
        <v>44880</v>
      </c>
      <c r="D419" s="25">
        <v>71</v>
      </c>
      <c r="E419" t="str" cm="1">
        <f t="array" ref="E419">insertinto(A419:D419,$F$2:$G$5,"pr_Assignments_Results")</f>
        <v>insert into pr_Assignments_Results values ('20227782', 'T-09', '15-Nov-2022', 71);</v>
      </c>
      <c r="H419">
        <v>417</v>
      </c>
    </row>
    <row r="420" spans="1:8" x14ac:dyDescent="0.15">
      <c r="A420">
        <f t="shared" si="12"/>
        <v>20227782</v>
      </c>
      <c r="B420" t="str">
        <f t="shared" si="13"/>
        <v>T-10</v>
      </c>
      <c r="C420" s="32">
        <v>44893</v>
      </c>
      <c r="D420" s="25">
        <v>74</v>
      </c>
      <c r="E420" t="str" cm="1">
        <f t="array" ref="E420">insertinto(A420:D420,$F$2:$G$5,"pr_Assignments_Results")</f>
        <v>insert into pr_Assignments_Results values ('20227782', 'T-10', '28-Nov-2022', 74);</v>
      </c>
      <c r="H420">
        <v>418</v>
      </c>
    </row>
    <row r="421" spans="1:8" x14ac:dyDescent="0.15">
      <c r="A421">
        <f t="shared" si="12"/>
        <v>20227782</v>
      </c>
      <c r="B421" t="str">
        <f t="shared" si="13"/>
        <v>T-11</v>
      </c>
      <c r="C421" s="32">
        <v>44959</v>
      </c>
      <c r="D421" s="25">
        <v>59</v>
      </c>
      <c r="E421" t="str" cm="1">
        <f t="array" ref="E421">insertinto(A421:D421,$F$2:$G$5,"pr_Assignments_Results")</f>
        <v>insert into pr_Assignments_Results values ('20227782', 'T-11', '02-Feb-2023', 59);</v>
      </c>
      <c r="H421">
        <v>419</v>
      </c>
    </row>
    <row r="422" spans="1:8" x14ac:dyDescent="0.15">
      <c r="A422">
        <f t="shared" si="12"/>
        <v>20227782</v>
      </c>
      <c r="B422" t="str">
        <f t="shared" si="13"/>
        <v>T-12</v>
      </c>
      <c r="C422" s="32">
        <v>44974</v>
      </c>
      <c r="D422" s="25">
        <v>55</v>
      </c>
      <c r="E422" t="str" cm="1">
        <f t="array" ref="E422">insertinto(A422:D422,$F$2:$G$5,"pr_Assignments_Results")</f>
        <v>insert into pr_Assignments_Results values ('20227782', 'T-12', '17-Feb-2023', 55);</v>
      </c>
      <c r="H422">
        <v>420</v>
      </c>
    </row>
    <row r="423" spans="1:8" x14ac:dyDescent="0.15">
      <c r="A423">
        <f t="shared" si="12"/>
        <v>20227782</v>
      </c>
      <c r="B423" t="str">
        <f t="shared" si="13"/>
        <v>T-13</v>
      </c>
      <c r="C423" s="32">
        <v>44985</v>
      </c>
      <c r="D423" s="25">
        <v>71</v>
      </c>
      <c r="E423" t="str" cm="1">
        <f t="array" ref="E423">insertinto(A423:D423,$F$2:$G$5,"pr_Assignments_Results")</f>
        <v>insert into pr_Assignments_Results values ('20227782', 'T-13', '28-Feb-2023', 71);</v>
      </c>
      <c r="H423">
        <v>421</v>
      </c>
    </row>
    <row r="424" spans="1:8" x14ac:dyDescent="0.15">
      <c r="A424">
        <f t="shared" si="12"/>
        <v>20227782</v>
      </c>
      <c r="B424" t="str">
        <f t="shared" si="13"/>
        <v>T-14</v>
      </c>
      <c r="C424" s="32">
        <v>44998</v>
      </c>
      <c r="D424" s="25">
        <v>76</v>
      </c>
      <c r="E424" t="str" cm="1">
        <f t="array" ref="E424">insertinto(A424:D424,$F$2:$G$5,"pr_Assignments_Results")</f>
        <v>insert into pr_Assignments_Results values ('20227782', 'T-14', '13-Mar-2023', 76);</v>
      </c>
      <c r="H424">
        <v>422</v>
      </c>
    </row>
    <row r="425" spans="1:8" x14ac:dyDescent="0.15">
      <c r="A425">
        <f t="shared" si="12"/>
        <v>20227782</v>
      </c>
      <c r="B425" t="str">
        <f t="shared" si="13"/>
        <v>T-15</v>
      </c>
      <c r="C425" s="32">
        <v>44953</v>
      </c>
      <c r="D425" s="25">
        <v>60</v>
      </c>
      <c r="E425" t="str" cm="1">
        <f t="array" ref="E425">insertinto(A425:D425,$F$2:$G$5,"pr_Assignments_Results")</f>
        <v>insert into pr_Assignments_Results values ('20227782', 'T-15', '27-Jan-2023', 60);</v>
      </c>
      <c r="H425">
        <v>423</v>
      </c>
    </row>
    <row r="426" spans="1:8" x14ac:dyDescent="0.15">
      <c r="A426">
        <f t="shared" si="12"/>
        <v>20227782</v>
      </c>
      <c r="B426" t="str">
        <f t="shared" si="13"/>
        <v>T-16</v>
      </c>
      <c r="C426" s="32">
        <v>44970</v>
      </c>
      <c r="D426" s="25">
        <v>59</v>
      </c>
      <c r="E426" t="str" cm="1">
        <f t="array" ref="E426">insertinto(A426:D426,$F$2:$G$5,"pr_Assignments_Results")</f>
        <v>insert into pr_Assignments_Results values ('20227782', 'T-16', '13-Feb-2023', 59);</v>
      </c>
      <c r="H426">
        <v>424</v>
      </c>
    </row>
    <row r="427" spans="1:8" x14ac:dyDescent="0.15">
      <c r="A427">
        <f t="shared" si="12"/>
        <v>20227782</v>
      </c>
      <c r="B427" t="str">
        <f t="shared" si="13"/>
        <v>T-17</v>
      </c>
      <c r="C427" s="32">
        <v>44981</v>
      </c>
      <c r="D427" s="25">
        <v>69</v>
      </c>
      <c r="E427" t="str" cm="1">
        <f t="array" ref="E427">insertinto(A427:D427,$F$2:$G$5,"pr_Assignments_Results")</f>
        <v>insert into pr_Assignments_Results values ('20227782', 'T-17', '24-Feb-2023', 69);</v>
      </c>
      <c r="H427">
        <v>425</v>
      </c>
    </row>
    <row r="428" spans="1:8" x14ac:dyDescent="0.15">
      <c r="A428">
        <f t="shared" si="12"/>
        <v>20227782</v>
      </c>
      <c r="B428" t="str">
        <f t="shared" si="13"/>
        <v>T-18</v>
      </c>
      <c r="C428" s="32">
        <v>44962</v>
      </c>
      <c r="D428" s="25">
        <v>70</v>
      </c>
      <c r="E428" t="str" cm="1">
        <f t="array" ref="E428">insertinto(A428:D428,$F$2:$G$5,"pr_Assignments_Results")</f>
        <v>insert into pr_Assignments_Results values ('20227782', 'T-18', '05-Feb-2023', 70);</v>
      </c>
      <c r="H428">
        <v>426</v>
      </c>
    </row>
    <row r="429" spans="1:8" x14ac:dyDescent="0.15">
      <c r="A429">
        <f t="shared" si="12"/>
        <v>20227782</v>
      </c>
      <c r="B429" t="str">
        <f t="shared" si="13"/>
        <v>T-19</v>
      </c>
      <c r="C429" s="32">
        <v>45042</v>
      </c>
      <c r="D429" s="25">
        <v>61</v>
      </c>
      <c r="E429" t="str" cm="1">
        <f t="array" ref="E429">insertinto(A429:D429,$F$2:$G$5,"pr_Assignments_Results")</f>
        <v>insert into pr_Assignments_Results values ('20227782', 'T-19', '26-Apr-2023', 61);</v>
      </c>
      <c r="H429">
        <v>427</v>
      </c>
    </row>
    <row r="430" spans="1:8" x14ac:dyDescent="0.15">
      <c r="A430">
        <f t="shared" si="12"/>
        <v>20227782</v>
      </c>
      <c r="B430" t="str">
        <f t="shared" si="13"/>
        <v>T-20</v>
      </c>
      <c r="C430" s="32">
        <v>45055</v>
      </c>
      <c r="D430" s="25">
        <v>68</v>
      </c>
      <c r="E430" t="str" cm="1">
        <f t="array" ref="E430">insertinto(A430:D430,$F$2:$G$5,"pr_Assignments_Results")</f>
        <v>insert into pr_Assignments_Results values ('20227782', 'T-20', '09-May-2023', 68);</v>
      </c>
      <c r="H430">
        <v>428</v>
      </c>
    </row>
    <row r="431" spans="1:8" x14ac:dyDescent="0.15">
      <c r="A431">
        <f t="shared" si="12"/>
        <v>20227782</v>
      </c>
      <c r="B431" t="str">
        <f t="shared" si="13"/>
        <v>T-21</v>
      </c>
      <c r="C431" s="32">
        <v>45064</v>
      </c>
      <c r="D431" s="25">
        <v>59</v>
      </c>
      <c r="E431" t="str" cm="1">
        <f t="array" ref="E431">insertinto(A431:D431,$F$2:$G$5,"pr_Assignments_Results")</f>
        <v>insert into pr_Assignments_Results values ('20227782', 'T-21', '18-May-2023', 59);</v>
      </c>
      <c r="H431">
        <v>429</v>
      </c>
    </row>
    <row r="432" spans="1:8" x14ac:dyDescent="0.15">
      <c r="A432">
        <f t="shared" si="12"/>
        <v>20227782</v>
      </c>
      <c r="B432" t="str">
        <f t="shared" si="13"/>
        <v>T-22</v>
      </c>
      <c r="C432" s="32">
        <v>45071</v>
      </c>
      <c r="D432" s="25">
        <v>63</v>
      </c>
      <c r="E432" t="str" cm="1">
        <f t="array" ref="E432">insertinto(A432:D432,$F$2:$G$5,"pr_Assignments_Results")</f>
        <v>insert into pr_Assignments_Results values ('20227782', 'T-22', '25-May-2023', 63);</v>
      </c>
      <c r="H432">
        <v>430</v>
      </c>
    </row>
    <row r="433" spans="1:8" x14ac:dyDescent="0.15">
      <c r="A433">
        <f t="shared" si="12"/>
        <v>20227782</v>
      </c>
      <c r="B433" t="str">
        <f t="shared" si="13"/>
        <v>T-23</v>
      </c>
      <c r="C433" s="32">
        <v>45208</v>
      </c>
      <c r="D433" s="25">
        <v>76</v>
      </c>
      <c r="E433" t="str" cm="1">
        <f t="array" ref="E433">insertinto(A433:D433,$F$2:$G$5,"pr_Assignments_Results")</f>
        <v>insert into pr_Assignments_Results values ('20227782', 'T-23', '09-Oct-2023', 76);</v>
      </c>
      <c r="H433">
        <v>431</v>
      </c>
    </row>
    <row r="434" spans="1:8" x14ac:dyDescent="0.15">
      <c r="A434">
        <f t="shared" si="12"/>
        <v>20227782</v>
      </c>
      <c r="B434" t="str">
        <f t="shared" si="13"/>
        <v>T-24</v>
      </c>
      <c r="C434" s="32">
        <v>45226</v>
      </c>
      <c r="D434" s="25">
        <v>69</v>
      </c>
      <c r="E434" t="str" cm="1">
        <f t="array" ref="E434">insertinto(A434:D434,$F$2:$G$5,"pr_Assignments_Results")</f>
        <v>insert into pr_Assignments_Results values ('20227782', 'T-24', '27-Oct-2023', 69);</v>
      </c>
      <c r="H434">
        <v>432</v>
      </c>
    </row>
    <row r="435" spans="1:8" x14ac:dyDescent="0.15">
      <c r="A435">
        <f t="shared" si="12"/>
        <v>20227782</v>
      </c>
      <c r="B435" t="str">
        <f t="shared" si="13"/>
        <v>T-25</v>
      </c>
      <c r="C435" s="32">
        <v>44886</v>
      </c>
      <c r="D435" s="25">
        <v>63</v>
      </c>
      <c r="E435" t="str" cm="1">
        <f t="array" ref="E435">insertinto(A435:D435,$F$2:$G$5,"pr_Assignments_Results")</f>
        <v>insert into pr_Assignments_Results values ('20227782', 'T-25', '21-Nov-2022', 63);</v>
      </c>
      <c r="H435">
        <v>433</v>
      </c>
    </row>
    <row r="436" spans="1:8" x14ac:dyDescent="0.15">
      <c r="A436">
        <f t="shared" si="12"/>
        <v>20227782</v>
      </c>
      <c r="B436" t="str">
        <f t="shared" si="13"/>
        <v>T-26</v>
      </c>
      <c r="C436" s="32">
        <v>45214</v>
      </c>
      <c r="D436" s="25">
        <v>72</v>
      </c>
      <c r="E436" t="str" cm="1">
        <f t="array" ref="E436">insertinto(A436:D436,$F$2:$G$5,"pr_Assignments_Results")</f>
        <v>insert into pr_Assignments_Results values ('20227782', 'T-26', '15-Oct-2023', 72);</v>
      </c>
      <c r="H436">
        <v>434</v>
      </c>
    </row>
    <row r="437" spans="1:8" x14ac:dyDescent="0.15">
      <c r="A437">
        <f t="shared" si="12"/>
        <v>20227782</v>
      </c>
      <c r="B437" t="str">
        <f t="shared" si="13"/>
        <v>T-27</v>
      </c>
      <c r="C437" s="32">
        <v>45233</v>
      </c>
      <c r="D437" s="25">
        <v>63</v>
      </c>
      <c r="E437" t="str" cm="1">
        <f t="array" ref="E437">insertinto(A437:D437,$F$2:$G$5,"pr_Assignments_Results")</f>
        <v>insert into pr_Assignments_Results values ('20227782', 'T-27', '03-Nov-2023', 63);</v>
      </c>
      <c r="H437">
        <v>435</v>
      </c>
    </row>
    <row r="438" spans="1:8" x14ac:dyDescent="0.15">
      <c r="A438">
        <f t="shared" si="12"/>
        <v>20227782</v>
      </c>
      <c r="B438" t="str">
        <f t="shared" si="13"/>
        <v>T-28</v>
      </c>
      <c r="C438" s="32">
        <v>45265</v>
      </c>
      <c r="D438" s="25">
        <v>62</v>
      </c>
      <c r="E438" t="str" cm="1">
        <f t="array" ref="E438">insertinto(A438:D438,$F$2:$G$5,"pr_Assignments_Results")</f>
        <v>insert into pr_Assignments_Results values ('20227782', 'T-28', '05-Dec-2023', 62);</v>
      </c>
      <c r="H438">
        <v>436</v>
      </c>
    </row>
    <row r="439" spans="1:8" x14ac:dyDescent="0.15">
      <c r="A439">
        <f t="shared" si="12"/>
        <v>20227782</v>
      </c>
      <c r="B439" t="str">
        <f t="shared" si="13"/>
        <v>T-29</v>
      </c>
      <c r="C439" s="32">
        <v>44945</v>
      </c>
      <c r="D439" s="25">
        <v>73</v>
      </c>
      <c r="E439" t="str" cm="1">
        <f t="array" ref="E439">insertinto(A439:D439,$F$2:$G$5,"pr_Assignments_Results")</f>
        <v>insert into pr_Assignments_Results values ('20227782', 'T-29', '19-Jan-2023', 73);</v>
      </c>
      <c r="H439">
        <v>437</v>
      </c>
    </row>
    <row r="440" spans="1:8" x14ac:dyDescent="0.15">
      <c r="A440">
        <f t="shared" si="12"/>
        <v>20227782</v>
      </c>
      <c r="B440" t="str">
        <f t="shared" si="13"/>
        <v>T-30</v>
      </c>
      <c r="C440" s="32">
        <v>45212</v>
      </c>
      <c r="D440" s="25">
        <v>58</v>
      </c>
      <c r="E440" t="str" cm="1">
        <f t="array" ref="E440">insertinto(A440:D440,$F$2:$G$5,"pr_Assignments_Results")</f>
        <v>insert into pr_Assignments_Results values ('20227782', 'T-30', '13-Oct-2023', 58);</v>
      </c>
      <c r="H440">
        <v>438</v>
      </c>
    </row>
    <row r="441" spans="1:8" x14ac:dyDescent="0.15">
      <c r="A441">
        <f t="shared" si="12"/>
        <v>20227782</v>
      </c>
      <c r="B441" t="str">
        <f t="shared" si="13"/>
        <v>T-31</v>
      </c>
      <c r="C441" s="32">
        <v>45230</v>
      </c>
      <c r="D441" s="25">
        <v>55</v>
      </c>
      <c r="E441" t="str" cm="1">
        <f t="array" ref="E441">insertinto(A441:D441,$F$2:$G$5,"pr_Assignments_Results")</f>
        <v>insert into pr_Assignments_Results values ('20227782', 'T-31', '31-Oct-2023', 55);</v>
      </c>
      <c r="H441">
        <v>439</v>
      </c>
    </row>
    <row r="442" spans="1:8" x14ac:dyDescent="0.15">
      <c r="A442">
        <f t="shared" si="12"/>
        <v>20227782</v>
      </c>
      <c r="B442" t="str">
        <f t="shared" si="13"/>
        <v>T-32</v>
      </c>
      <c r="C442" s="32">
        <v>45244</v>
      </c>
      <c r="D442" s="25">
        <v>73</v>
      </c>
      <c r="E442" t="str" cm="1">
        <f t="array" ref="E442">insertinto(A442:D442,$F$2:$G$5,"pr_Assignments_Results")</f>
        <v>insert into pr_Assignments_Results values ('20227782', 'T-32', '14-Nov-2023', 73);</v>
      </c>
      <c r="H442">
        <v>440</v>
      </c>
    </row>
    <row r="443" spans="1:8" x14ac:dyDescent="0.15">
      <c r="A443">
        <f t="shared" si="12"/>
        <v>20227782</v>
      </c>
      <c r="B443" t="str">
        <f t="shared" si="13"/>
        <v>T-33</v>
      </c>
      <c r="C443" s="32">
        <v>45260</v>
      </c>
      <c r="D443" s="25">
        <v>68</v>
      </c>
      <c r="E443" t="str" cm="1">
        <f t="array" ref="E443">insertinto(A443:D443,$F$2:$G$5,"pr_Assignments_Results")</f>
        <v>insert into pr_Assignments_Results values ('20227782', 'T-33', '30-Nov-2023', 68);</v>
      </c>
      <c r="H443">
        <v>441</v>
      </c>
    </row>
    <row r="444" spans="1:8" x14ac:dyDescent="0.15">
      <c r="A444">
        <f t="shared" si="12"/>
        <v>20227177</v>
      </c>
      <c r="B444" t="str">
        <f t="shared" si="13"/>
        <v>T-00</v>
      </c>
      <c r="C444" s="32">
        <v>44847</v>
      </c>
      <c r="D444" s="25">
        <v>74</v>
      </c>
      <c r="E444" t="str" cm="1">
        <f t="array" ref="E444">insertinto(A444:D444,$F$2:$G$5,"pr_Assignments_Results")</f>
        <v>insert into pr_Assignments_Results values ('20227177', 'T-00', '13-Oct-2022', 74);</v>
      </c>
      <c r="H444">
        <v>442</v>
      </c>
    </row>
    <row r="445" spans="1:8" x14ac:dyDescent="0.15">
      <c r="A445">
        <f t="shared" si="12"/>
        <v>20227177</v>
      </c>
      <c r="B445" t="str">
        <f t="shared" si="13"/>
        <v>T-01</v>
      </c>
      <c r="C445" s="32">
        <v>44853</v>
      </c>
      <c r="D445" s="25">
        <v>74</v>
      </c>
      <c r="E445" t="str" cm="1">
        <f t="array" ref="E445">insertinto(A445:D445,$F$2:$G$5,"pr_Assignments_Results")</f>
        <v>insert into pr_Assignments_Results values ('20227177', 'T-01', '19-Oct-2022', 74);</v>
      </c>
      <c r="H445">
        <v>443</v>
      </c>
    </row>
    <row r="446" spans="1:8" x14ac:dyDescent="0.15">
      <c r="A446">
        <f t="shared" si="12"/>
        <v>20227177</v>
      </c>
      <c r="B446" t="str">
        <f t="shared" si="13"/>
        <v>T-02</v>
      </c>
      <c r="C446" s="32">
        <v>44876</v>
      </c>
      <c r="D446" s="25">
        <v>55</v>
      </c>
      <c r="E446" t="str" cm="1">
        <f t="array" ref="E446">insertinto(A446:D446,$F$2:$G$5,"pr_Assignments_Results")</f>
        <v>insert into pr_Assignments_Results values ('20227177', 'T-02', '11-Nov-2022', 55);</v>
      </c>
      <c r="H446">
        <v>444</v>
      </c>
    </row>
    <row r="447" spans="1:8" x14ac:dyDescent="0.15">
      <c r="A447">
        <f t="shared" si="12"/>
        <v>20227177</v>
      </c>
      <c r="B447" t="str">
        <f t="shared" si="13"/>
        <v>T-03</v>
      </c>
      <c r="C447" s="32">
        <v>44884</v>
      </c>
      <c r="D447" s="25">
        <v>67</v>
      </c>
      <c r="E447" t="str" cm="1">
        <f t="array" ref="E447">insertinto(A447:D447,$F$2:$G$5,"pr_Assignments_Results")</f>
        <v>insert into pr_Assignments_Results values ('20227177', 'T-03', '19-Nov-2022', 67);</v>
      </c>
      <c r="H447">
        <v>445</v>
      </c>
    </row>
    <row r="448" spans="1:8" x14ac:dyDescent="0.15">
      <c r="A448">
        <f t="shared" si="12"/>
        <v>20227177</v>
      </c>
      <c r="B448" t="str">
        <f t="shared" si="13"/>
        <v>T-04</v>
      </c>
      <c r="C448" s="32">
        <v>44852</v>
      </c>
      <c r="D448" s="25">
        <v>64</v>
      </c>
      <c r="E448" t="str" cm="1">
        <f t="array" ref="E448">insertinto(A448:D448,$F$2:$G$5,"pr_Assignments_Results")</f>
        <v>insert into pr_Assignments_Results values ('20227177', 'T-04', '18-Oct-2022', 64);</v>
      </c>
      <c r="H448">
        <v>446</v>
      </c>
    </row>
    <row r="449" spans="1:8" x14ac:dyDescent="0.15">
      <c r="A449">
        <f t="shared" si="12"/>
        <v>20227177</v>
      </c>
      <c r="B449" t="str">
        <f t="shared" si="13"/>
        <v>T-05</v>
      </c>
      <c r="C449" s="32">
        <v>44840</v>
      </c>
      <c r="D449" s="25">
        <v>69</v>
      </c>
      <c r="E449" t="str" cm="1">
        <f t="array" ref="E449">insertinto(A449:D449,$F$2:$G$5,"pr_Assignments_Results")</f>
        <v>insert into pr_Assignments_Results values ('20227177', 'T-05', '06-Oct-2022', 69);</v>
      </c>
      <c r="H449">
        <v>447</v>
      </c>
    </row>
    <row r="450" spans="1:8" x14ac:dyDescent="0.15">
      <c r="A450">
        <f t="shared" ref="A450:A513" si="14">INDEX($I$2:$I$51,INT(H450/34)+1)</f>
        <v>20227177</v>
      </c>
      <c r="B450" t="str">
        <f t="shared" ref="B450:B513" si="15">INDEX($J$2:$J$35,MOD(H450,34)+1)</f>
        <v>T-06</v>
      </c>
      <c r="C450" s="32">
        <v>44887</v>
      </c>
      <c r="D450" s="25">
        <v>57</v>
      </c>
      <c r="E450" t="str" cm="1">
        <f t="array" ref="E450">insertinto(A450:D450,$F$2:$G$5,"pr_Assignments_Results")</f>
        <v>insert into pr_Assignments_Results values ('20227177', 'T-06', '22-Nov-2022', 57);</v>
      </c>
      <c r="H450">
        <v>448</v>
      </c>
    </row>
    <row r="451" spans="1:8" x14ac:dyDescent="0.15">
      <c r="A451">
        <f t="shared" si="14"/>
        <v>20227177</v>
      </c>
      <c r="B451" t="str">
        <f t="shared" si="15"/>
        <v>T-07</v>
      </c>
      <c r="C451" s="32">
        <v>44843</v>
      </c>
      <c r="D451" s="25">
        <v>63</v>
      </c>
      <c r="E451" t="str" cm="1">
        <f t="array" ref="E451">insertinto(A451:D451,$F$2:$G$5,"pr_Assignments_Results")</f>
        <v>insert into pr_Assignments_Results values ('20227177', 'T-07', '09-Oct-2022', 63);</v>
      </c>
      <c r="H451">
        <v>449</v>
      </c>
    </row>
    <row r="452" spans="1:8" x14ac:dyDescent="0.15">
      <c r="A452">
        <f t="shared" si="14"/>
        <v>20227177</v>
      </c>
      <c r="B452" t="str">
        <f t="shared" si="15"/>
        <v>T-08</v>
      </c>
      <c r="C452" s="32">
        <v>44853</v>
      </c>
      <c r="D452" s="25">
        <v>74</v>
      </c>
      <c r="E452" t="str" cm="1">
        <f t="array" ref="E452">insertinto(A452:D452,$F$2:$G$5,"pr_Assignments_Results")</f>
        <v>insert into pr_Assignments_Results values ('20227177', 'T-08', '19-Oct-2022', 74);</v>
      </c>
      <c r="H452">
        <v>450</v>
      </c>
    </row>
    <row r="453" spans="1:8" x14ac:dyDescent="0.15">
      <c r="A453">
        <f t="shared" si="14"/>
        <v>20227177</v>
      </c>
      <c r="B453" t="str">
        <f t="shared" si="15"/>
        <v>T-09</v>
      </c>
      <c r="C453" s="32">
        <v>44882</v>
      </c>
      <c r="D453" s="25">
        <v>61</v>
      </c>
      <c r="E453" t="str" cm="1">
        <f t="array" ref="E453">insertinto(A453:D453,$F$2:$G$5,"pr_Assignments_Results")</f>
        <v>insert into pr_Assignments_Results values ('20227177', 'T-09', '17-Nov-2022', 61);</v>
      </c>
      <c r="H453">
        <v>451</v>
      </c>
    </row>
    <row r="454" spans="1:8" x14ac:dyDescent="0.15">
      <c r="A454">
        <f t="shared" si="14"/>
        <v>20227177</v>
      </c>
      <c r="B454" t="str">
        <f t="shared" si="15"/>
        <v>T-10</v>
      </c>
      <c r="C454" s="32">
        <v>44895</v>
      </c>
      <c r="D454" s="25">
        <v>61</v>
      </c>
      <c r="E454" t="str" cm="1">
        <f t="array" ref="E454">insertinto(A454:D454,$F$2:$G$5,"pr_Assignments_Results")</f>
        <v>insert into pr_Assignments_Results values ('20227177', 'T-10', '30-Nov-2022', 61);</v>
      </c>
      <c r="H454">
        <v>452</v>
      </c>
    </row>
    <row r="455" spans="1:8" x14ac:dyDescent="0.15">
      <c r="A455">
        <f t="shared" si="14"/>
        <v>20227177</v>
      </c>
      <c r="B455" t="str">
        <f t="shared" si="15"/>
        <v>T-11</v>
      </c>
      <c r="C455" s="32">
        <v>44957</v>
      </c>
      <c r="D455" s="25">
        <v>66</v>
      </c>
      <c r="E455" t="str" cm="1">
        <f t="array" ref="E455">insertinto(A455:D455,$F$2:$G$5,"pr_Assignments_Results")</f>
        <v>insert into pr_Assignments_Results values ('20227177', 'T-11', '31-Jan-2023', 66);</v>
      </c>
      <c r="H455">
        <v>453</v>
      </c>
    </row>
    <row r="456" spans="1:8" x14ac:dyDescent="0.15">
      <c r="A456">
        <f t="shared" si="14"/>
        <v>20227177</v>
      </c>
      <c r="B456" t="str">
        <f t="shared" si="15"/>
        <v>T-12</v>
      </c>
      <c r="C456" s="32">
        <v>44974</v>
      </c>
      <c r="D456" s="25">
        <v>62</v>
      </c>
      <c r="E456" t="str" cm="1">
        <f t="array" ref="E456">insertinto(A456:D456,$F$2:$G$5,"pr_Assignments_Results")</f>
        <v>insert into pr_Assignments_Results values ('20227177', 'T-12', '17-Feb-2023', 62);</v>
      </c>
      <c r="H456">
        <v>454</v>
      </c>
    </row>
    <row r="457" spans="1:8" x14ac:dyDescent="0.15">
      <c r="A457">
        <f t="shared" si="14"/>
        <v>20227177</v>
      </c>
      <c r="B457" t="str">
        <f t="shared" si="15"/>
        <v>T-13</v>
      </c>
      <c r="C457" s="32">
        <v>44988</v>
      </c>
      <c r="D457" s="25">
        <v>75</v>
      </c>
      <c r="E457" t="str" cm="1">
        <f t="array" ref="E457">insertinto(A457:D457,$F$2:$G$5,"pr_Assignments_Results")</f>
        <v>insert into pr_Assignments_Results values ('20227177', 'T-13', '03-Mar-2023', 75);</v>
      </c>
      <c r="H457">
        <v>455</v>
      </c>
    </row>
    <row r="458" spans="1:8" x14ac:dyDescent="0.15">
      <c r="A458">
        <f t="shared" si="14"/>
        <v>20227177</v>
      </c>
      <c r="B458" t="str">
        <f t="shared" si="15"/>
        <v>T-14</v>
      </c>
      <c r="C458" s="32">
        <v>44998</v>
      </c>
      <c r="D458" s="25">
        <v>73</v>
      </c>
      <c r="E458" t="str" cm="1">
        <f t="array" ref="E458">insertinto(A458:D458,$F$2:$G$5,"pr_Assignments_Results")</f>
        <v>insert into pr_Assignments_Results values ('20227177', 'T-14', '13-Mar-2023', 73);</v>
      </c>
      <c r="H458">
        <v>456</v>
      </c>
    </row>
    <row r="459" spans="1:8" x14ac:dyDescent="0.15">
      <c r="A459">
        <f t="shared" si="14"/>
        <v>20227177</v>
      </c>
      <c r="B459" t="str">
        <f t="shared" si="15"/>
        <v>T-15</v>
      </c>
      <c r="C459" s="32">
        <v>44957</v>
      </c>
      <c r="D459" s="25">
        <v>55</v>
      </c>
      <c r="E459" t="str" cm="1">
        <f t="array" ref="E459">insertinto(A459:D459,$F$2:$G$5,"pr_Assignments_Results")</f>
        <v>insert into pr_Assignments_Results values ('20227177', 'T-15', '31-Jan-2023', 55);</v>
      </c>
      <c r="H459">
        <v>457</v>
      </c>
    </row>
    <row r="460" spans="1:8" x14ac:dyDescent="0.15">
      <c r="A460">
        <f t="shared" si="14"/>
        <v>20227177</v>
      </c>
      <c r="B460" t="str">
        <f t="shared" si="15"/>
        <v>T-16</v>
      </c>
      <c r="C460" s="32">
        <v>44971</v>
      </c>
      <c r="D460" s="25">
        <v>70</v>
      </c>
      <c r="E460" t="str" cm="1">
        <f t="array" ref="E460">insertinto(A460:D460,$F$2:$G$5,"pr_Assignments_Results")</f>
        <v>insert into pr_Assignments_Results values ('20227177', 'T-16', '14-Feb-2023', 70);</v>
      </c>
      <c r="H460">
        <v>458</v>
      </c>
    </row>
    <row r="461" spans="1:8" x14ac:dyDescent="0.15">
      <c r="A461">
        <f t="shared" si="14"/>
        <v>20227177</v>
      </c>
      <c r="B461" t="str">
        <f t="shared" si="15"/>
        <v>T-17</v>
      </c>
      <c r="C461" s="32">
        <v>44984</v>
      </c>
      <c r="D461" s="25">
        <v>62</v>
      </c>
      <c r="E461" t="str" cm="1">
        <f t="array" ref="E461">insertinto(A461:D461,$F$2:$G$5,"pr_Assignments_Results")</f>
        <v>insert into pr_Assignments_Results values ('20227177', 'T-17', '27-Feb-2023', 62);</v>
      </c>
      <c r="H461">
        <v>459</v>
      </c>
    </row>
    <row r="462" spans="1:8" x14ac:dyDescent="0.15">
      <c r="A462">
        <f t="shared" si="14"/>
        <v>20227177</v>
      </c>
      <c r="B462" t="str">
        <f t="shared" si="15"/>
        <v>T-18</v>
      </c>
      <c r="C462" s="32">
        <v>44961</v>
      </c>
      <c r="D462" s="25">
        <v>70</v>
      </c>
      <c r="E462" t="str" cm="1">
        <f t="array" ref="E462">insertinto(A462:D462,$F$2:$G$5,"pr_Assignments_Results")</f>
        <v>insert into pr_Assignments_Results values ('20227177', 'T-18', '04-Feb-2023', 70);</v>
      </c>
      <c r="H462">
        <v>460</v>
      </c>
    </row>
    <row r="463" spans="1:8" x14ac:dyDescent="0.15">
      <c r="A463">
        <f t="shared" si="14"/>
        <v>20227177</v>
      </c>
      <c r="B463" t="str">
        <f t="shared" si="15"/>
        <v>T-19</v>
      </c>
      <c r="C463" s="32">
        <v>45045</v>
      </c>
      <c r="D463" s="25">
        <v>56</v>
      </c>
      <c r="E463" t="str" cm="1">
        <f t="array" ref="E463">insertinto(A463:D463,$F$2:$G$5,"pr_Assignments_Results")</f>
        <v>insert into pr_Assignments_Results values ('20227177', 'T-19', '29-Apr-2023', 56);</v>
      </c>
      <c r="H463">
        <v>461</v>
      </c>
    </row>
    <row r="464" spans="1:8" x14ac:dyDescent="0.15">
      <c r="A464">
        <f t="shared" si="14"/>
        <v>20227177</v>
      </c>
      <c r="B464" t="str">
        <f t="shared" si="15"/>
        <v>T-20</v>
      </c>
      <c r="C464" s="32">
        <v>45050</v>
      </c>
      <c r="D464" s="25">
        <v>68</v>
      </c>
      <c r="E464" t="str" cm="1">
        <f t="array" ref="E464">insertinto(A464:D464,$F$2:$G$5,"pr_Assignments_Results")</f>
        <v>insert into pr_Assignments_Results values ('20227177', 'T-20', '04-May-2023', 68);</v>
      </c>
      <c r="H464">
        <v>462</v>
      </c>
    </row>
    <row r="465" spans="1:8" x14ac:dyDescent="0.15">
      <c r="A465">
        <f t="shared" si="14"/>
        <v>20227177</v>
      </c>
      <c r="B465" t="str">
        <f t="shared" si="15"/>
        <v>T-21</v>
      </c>
      <c r="C465" s="32">
        <v>45062</v>
      </c>
      <c r="D465" s="25">
        <v>60</v>
      </c>
      <c r="E465" t="str" cm="1">
        <f t="array" ref="E465">insertinto(A465:D465,$F$2:$G$5,"pr_Assignments_Results")</f>
        <v>insert into pr_Assignments_Results values ('20227177', 'T-21', '16-May-2023', 60);</v>
      </c>
      <c r="H465">
        <v>463</v>
      </c>
    </row>
    <row r="466" spans="1:8" x14ac:dyDescent="0.15">
      <c r="A466">
        <f t="shared" si="14"/>
        <v>20227177</v>
      </c>
      <c r="B466" t="str">
        <f t="shared" si="15"/>
        <v>T-22</v>
      </c>
      <c r="C466" s="32">
        <v>45072</v>
      </c>
      <c r="D466" s="25">
        <v>66</v>
      </c>
      <c r="E466" t="str" cm="1">
        <f t="array" ref="E466">insertinto(A466:D466,$F$2:$G$5,"pr_Assignments_Results")</f>
        <v>insert into pr_Assignments_Results values ('20227177', 'T-22', '26-May-2023', 66);</v>
      </c>
      <c r="H466">
        <v>464</v>
      </c>
    </row>
    <row r="467" spans="1:8" x14ac:dyDescent="0.15">
      <c r="A467">
        <f t="shared" si="14"/>
        <v>20227177</v>
      </c>
      <c r="B467" t="str">
        <f t="shared" si="15"/>
        <v>T-23</v>
      </c>
      <c r="C467" s="32">
        <v>45207</v>
      </c>
      <c r="D467" s="25">
        <v>64</v>
      </c>
      <c r="E467" t="str" cm="1">
        <f t="array" ref="E467">insertinto(A467:D467,$F$2:$G$5,"pr_Assignments_Results")</f>
        <v>insert into pr_Assignments_Results values ('20227177', 'T-23', '08-Oct-2023', 64);</v>
      </c>
      <c r="H467">
        <v>465</v>
      </c>
    </row>
    <row r="468" spans="1:8" x14ac:dyDescent="0.15">
      <c r="A468">
        <f t="shared" si="14"/>
        <v>20227177</v>
      </c>
      <c r="B468" t="str">
        <f t="shared" si="15"/>
        <v>T-24</v>
      </c>
      <c r="C468" s="32">
        <v>45228</v>
      </c>
      <c r="D468" s="25">
        <v>60</v>
      </c>
      <c r="E468" t="str" cm="1">
        <f t="array" ref="E468">insertinto(A468:D468,$F$2:$G$5,"pr_Assignments_Results")</f>
        <v>insert into pr_Assignments_Results values ('20227177', 'T-24', '29-Oct-2023', 60);</v>
      </c>
      <c r="H468">
        <v>466</v>
      </c>
    </row>
    <row r="469" spans="1:8" x14ac:dyDescent="0.15">
      <c r="A469">
        <f t="shared" si="14"/>
        <v>20227177</v>
      </c>
      <c r="B469" t="str">
        <f t="shared" si="15"/>
        <v>T-25</v>
      </c>
      <c r="C469" s="32">
        <v>44887</v>
      </c>
      <c r="D469" s="25">
        <v>67</v>
      </c>
      <c r="E469" t="str" cm="1">
        <f t="array" ref="E469">insertinto(A469:D469,$F$2:$G$5,"pr_Assignments_Results")</f>
        <v>insert into pr_Assignments_Results values ('20227177', 'T-25', '22-Nov-2022', 67);</v>
      </c>
      <c r="H469">
        <v>467</v>
      </c>
    </row>
    <row r="470" spans="1:8" x14ac:dyDescent="0.15">
      <c r="A470">
        <f t="shared" si="14"/>
        <v>20227177</v>
      </c>
      <c r="B470" t="str">
        <f t="shared" si="15"/>
        <v>T-26</v>
      </c>
      <c r="C470" s="32">
        <v>45215</v>
      </c>
      <c r="D470" s="25">
        <v>69</v>
      </c>
      <c r="E470" t="str" cm="1">
        <f t="array" ref="E470">insertinto(A470:D470,$F$2:$G$5,"pr_Assignments_Results")</f>
        <v>insert into pr_Assignments_Results values ('20227177', 'T-26', '16-Oct-2023', 69);</v>
      </c>
      <c r="H470">
        <v>468</v>
      </c>
    </row>
    <row r="471" spans="1:8" x14ac:dyDescent="0.15">
      <c r="A471">
        <f t="shared" si="14"/>
        <v>20227177</v>
      </c>
      <c r="B471" t="str">
        <f t="shared" si="15"/>
        <v>T-27</v>
      </c>
      <c r="C471" s="32">
        <v>45231</v>
      </c>
      <c r="D471" s="25">
        <v>72</v>
      </c>
      <c r="E471" t="str" cm="1">
        <f t="array" ref="E471">insertinto(A471:D471,$F$2:$G$5,"pr_Assignments_Results")</f>
        <v>insert into pr_Assignments_Results values ('20227177', 'T-27', '01-Nov-2023', 72);</v>
      </c>
      <c r="H471">
        <v>469</v>
      </c>
    </row>
    <row r="472" spans="1:8" x14ac:dyDescent="0.15">
      <c r="A472">
        <f t="shared" si="14"/>
        <v>20227177</v>
      </c>
      <c r="B472" t="str">
        <f t="shared" si="15"/>
        <v>T-28</v>
      </c>
      <c r="C472" s="32">
        <v>45261</v>
      </c>
      <c r="D472" s="25">
        <v>67</v>
      </c>
      <c r="E472" t="str" cm="1">
        <f t="array" ref="E472">insertinto(A472:D472,$F$2:$G$5,"pr_Assignments_Results")</f>
        <v>insert into pr_Assignments_Results values ('20227177', 'T-28', '01-Dec-2023', 67);</v>
      </c>
      <c r="H472">
        <v>470</v>
      </c>
    </row>
    <row r="473" spans="1:8" x14ac:dyDescent="0.15">
      <c r="A473">
        <f t="shared" si="14"/>
        <v>20227177</v>
      </c>
      <c r="B473" t="str">
        <f t="shared" si="15"/>
        <v>T-29</v>
      </c>
      <c r="C473" s="32">
        <v>44946</v>
      </c>
      <c r="D473" s="25">
        <v>65</v>
      </c>
      <c r="E473" t="str" cm="1">
        <f t="array" ref="E473">insertinto(A473:D473,$F$2:$G$5,"pr_Assignments_Results")</f>
        <v>insert into pr_Assignments_Results values ('20227177', 'T-29', '20-Jan-2023', 65);</v>
      </c>
      <c r="H473">
        <v>471</v>
      </c>
    </row>
    <row r="474" spans="1:8" x14ac:dyDescent="0.15">
      <c r="A474">
        <f t="shared" si="14"/>
        <v>20227177</v>
      </c>
      <c r="B474" t="str">
        <f t="shared" si="15"/>
        <v>T-30</v>
      </c>
      <c r="C474" s="32">
        <v>45215</v>
      </c>
      <c r="D474" s="25">
        <v>70</v>
      </c>
      <c r="E474" t="str" cm="1">
        <f t="array" ref="E474">insertinto(A474:D474,$F$2:$G$5,"pr_Assignments_Results")</f>
        <v>insert into pr_Assignments_Results values ('20227177', 'T-30', '16-Oct-2023', 70);</v>
      </c>
      <c r="H474">
        <v>472</v>
      </c>
    </row>
    <row r="475" spans="1:8" x14ac:dyDescent="0.15">
      <c r="A475">
        <f t="shared" si="14"/>
        <v>20227177</v>
      </c>
      <c r="B475" t="str">
        <f t="shared" si="15"/>
        <v>T-31</v>
      </c>
      <c r="C475" s="32">
        <v>45232</v>
      </c>
      <c r="D475" s="25">
        <v>67</v>
      </c>
      <c r="E475" t="str" cm="1">
        <f t="array" ref="E475">insertinto(A475:D475,$F$2:$G$5,"pr_Assignments_Results")</f>
        <v>insert into pr_Assignments_Results values ('20227177', 'T-31', '02-Nov-2023', 67);</v>
      </c>
      <c r="H475">
        <v>473</v>
      </c>
    </row>
    <row r="476" spans="1:8" x14ac:dyDescent="0.15">
      <c r="A476">
        <f t="shared" si="14"/>
        <v>20227177</v>
      </c>
      <c r="B476" t="str">
        <f t="shared" si="15"/>
        <v>T-32</v>
      </c>
      <c r="C476" s="32">
        <v>45247</v>
      </c>
      <c r="D476" s="25">
        <v>60</v>
      </c>
      <c r="E476" t="str" cm="1">
        <f t="array" ref="E476">insertinto(A476:D476,$F$2:$G$5,"pr_Assignments_Results")</f>
        <v>insert into pr_Assignments_Results values ('20227177', 'T-32', '17-Nov-2023', 60);</v>
      </c>
      <c r="H476">
        <v>474</v>
      </c>
    </row>
    <row r="477" spans="1:8" x14ac:dyDescent="0.15">
      <c r="A477">
        <f t="shared" si="14"/>
        <v>20227177</v>
      </c>
      <c r="B477" t="str">
        <f t="shared" si="15"/>
        <v>T-33</v>
      </c>
      <c r="C477" s="32">
        <v>45261</v>
      </c>
      <c r="D477" s="25">
        <v>57</v>
      </c>
      <c r="E477" t="str" cm="1">
        <f t="array" ref="E477">insertinto(A477:D477,$F$2:$G$5,"pr_Assignments_Results")</f>
        <v>insert into pr_Assignments_Results values ('20227177', 'T-33', '01-Dec-2023', 57);</v>
      </c>
      <c r="H477">
        <v>475</v>
      </c>
    </row>
    <row r="478" spans="1:8" x14ac:dyDescent="0.15">
      <c r="A478">
        <f t="shared" si="14"/>
        <v>20221564</v>
      </c>
      <c r="B478" t="str">
        <f t="shared" si="15"/>
        <v>T-00</v>
      </c>
      <c r="C478" s="32">
        <v>44841</v>
      </c>
      <c r="D478" s="25">
        <v>74</v>
      </c>
      <c r="E478" t="str" cm="1">
        <f t="array" ref="E478">insertinto(A478:D478,$F$2:$G$5,"pr_Assignments_Results")</f>
        <v>insert into pr_Assignments_Results values ('20221564', 'T-00', '07-Oct-2022', 74);</v>
      </c>
      <c r="H478">
        <v>476</v>
      </c>
    </row>
    <row r="479" spans="1:8" x14ac:dyDescent="0.15">
      <c r="A479">
        <f t="shared" si="14"/>
        <v>20221564</v>
      </c>
      <c r="B479" t="str">
        <f t="shared" si="15"/>
        <v>T-01</v>
      </c>
      <c r="C479" s="32">
        <v>44851</v>
      </c>
      <c r="D479" s="25">
        <v>68</v>
      </c>
      <c r="E479" t="str" cm="1">
        <f t="array" ref="E479">insertinto(A479:D479,$F$2:$G$5,"pr_Assignments_Results")</f>
        <v>insert into pr_Assignments_Results values ('20221564', 'T-01', '17-Oct-2022', 68);</v>
      </c>
      <c r="H479">
        <v>477</v>
      </c>
    </row>
    <row r="480" spans="1:8" x14ac:dyDescent="0.15">
      <c r="A480">
        <f t="shared" si="14"/>
        <v>20221564</v>
      </c>
      <c r="B480" t="str">
        <f t="shared" si="15"/>
        <v>T-02</v>
      </c>
      <c r="C480" s="32">
        <v>44877</v>
      </c>
      <c r="D480" s="25">
        <v>62</v>
      </c>
      <c r="E480" t="str" cm="1">
        <f t="array" ref="E480">insertinto(A480:D480,$F$2:$G$5,"pr_Assignments_Results")</f>
        <v>insert into pr_Assignments_Results values ('20221564', 'T-02', '12-Nov-2022', 62);</v>
      </c>
      <c r="H480">
        <v>478</v>
      </c>
    </row>
    <row r="481" spans="1:8" x14ac:dyDescent="0.15">
      <c r="A481">
        <f t="shared" si="14"/>
        <v>20221564</v>
      </c>
      <c r="B481" t="str">
        <f t="shared" si="15"/>
        <v>T-03</v>
      </c>
      <c r="C481" s="32">
        <v>44881</v>
      </c>
      <c r="D481" s="25">
        <v>69</v>
      </c>
      <c r="E481" t="str" cm="1">
        <f t="array" ref="E481">insertinto(A481:D481,$F$2:$G$5,"pr_Assignments_Results")</f>
        <v>insert into pr_Assignments_Results values ('20221564', 'T-03', '16-Nov-2022', 69);</v>
      </c>
      <c r="H481">
        <v>479</v>
      </c>
    </row>
    <row r="482" spans="1:8" x14ac:dyDescent="0.15">
      <c r="A482">
        <f t="shared" si="14"/>
        <v>20221564</v>
      </c>
      <c r="B482" t="str">
        <f t="shared" si="15"/>
        <v>T-04</v>
      </c>
      <c r="C482" s="32">
        <v>44850</v>
      </c>
      <c r="D482" s="25">
        <v>59</v>
      </c>
      <c r="E482" t="str" cm="1">
        <f t="array" ref="E482">insertinto(A482:D482,$F$2:$G$5,"pr_Assignments_Results")</f>
        <v>insert into pr_Assignments_Results values ('20221564', 'T-04', '16-Oct-2022', 59);</v>
      </c>
      <c r="H482">
        <v>480</v>
      </c>
    </row>
    <row r="483" spans="1:8" x14ac:dyDescent="0.15">
      <c r="A483">
        <f t="shared" si="14"/>
        <v>20221564</v>
      </c>
      <c r="B483" t="str">
        <f t="shared" si="15"/>
        <v>T-05</v>
      </c>
      <c r="C483" s="32">
        <v>44836</v>
      </c>
      <c r="D483" s="25">
        <v>64</v>
      </c>
      <c r="E483" t="str" cm="1">
        <f t="array" ref="E483">insertinto(A483:D483,$F$2:$G$5,"pr_Assignments_Results")</f>
        <v>insert into pr_Assignments_Results values ('20221564', 'T-05', '02-Oct-2022', 64);</v>
      </c>
      <c r="H483">
        <v>481</v>
      </c>
    </row>
    <row r="484" spans="1:8" x14ac:dyDescent="0.15">
      <c r="A484">
        <f t="shared" si="14"/>
        <v>20221564</v>
      </c>
      <c r="B484" t="str">
        <f t="shared" si="15"/>
        <v>T-06</v>
      </c>
      <c r="C484" s="32">
        <v>44890</v>
      </c>
      <c r="D484" s="25">
        <v>66</v>
      </c>
      <c r="E484" t="str" cm="1">
        <f t="array" ref="E484">insertinto(A484:D484,$F$2:$G$5,"pr_Assignments_Results")</f>
        <v>insert into pr_Assignments_Results values ('20221564', 'T-06', '25-Nov-2022', 66);</v>
      </c>
      <c r="H484">
        <v>482</v>
      </c>
    </row>
    <row r="485" spans="1:8" x14ac:dyDescent="0.15">
      <c r="A485">
        <f t="shared" si="14"/>
        <v>20221564</v>
      </c>
      <c r="B485" t="str">
        <f t="shared" si="15"/>
        <v>T-07</v>
      </c>
      <c r="C485" s="32">
        <v>44846</v>
      </c>
      <c r="D485" s="25">
        <v>72</v>
      </c>
      <c r="E485" t="str" cm="1">
        <f t="array" ref="E485">insertinto(A485:D485,$F$2:$G$5,"pr_Assignments_Results")</f>
        <v>insert into pr_Assignments_Results values ('20221564', 'T-07', '12-Oct-2022', 72);</v>
      </c>
      <c r="H485">
        <v>483</v>
      </c>
    </row>
    <row r="486" spans="1:8" x14ac:dyDescent="0.15">
      <c r="A486">
        <f t="shared" si="14"/>
        <v>20221564</v>
      </c>
      <c r="B486" t="str">
        <f t="shared" si="15"/>
        <v>T-08</v>
      </c>
      <c r="C486" s="32">
        <v>44854</v>
      </c>
      <c r="D486" s="25">
        <v>60</v>
      </c>
      <c r="E486" t="str" cm="1">
        <f t="array" ref="E486">insertinto(A486:D486,$F$2:$G$5,"pr_Assignments_Results")</f>
        <v>insert into pr_Assignments_Results values ('20221564', 'T-08', '20-Oct-2022', 60);</v>
      </c>
      <c r="H486">
        <v>484</v>
      </c>
    </row>
    <row r="487" spans="1:8" x14ac:dyDescent="0.15">
      <c r="A487">
        <f t="shared" si="14"/>
        <v>20221564</v>
      </c>
      <c r="B487" t="str">
        <f t="shared" si="15"/>
        <v>T-09</v>
      </c>
      <c r="C487" s="32">
        <v>44880</v>
      </c>
      <c r="D487" s="25">
        <v>59</v>
      </c>
      <c r="E487" t="str" cm="1">
        <f t="array" ref="E487">insertinto(A487:D487,$F$2:$G$5,"pr_Assignments_Results")</f>
        <v>insert into pr_Assignments_Results values ('20221564', 'T-09', '15-Nov-2022', 59);</v>
      </c>
      <c r="H487">
        <v>485</v>
      </c>
    </row>
    <row r="488" spans="1:8" x14ac:dyDescent="0.15">
      <c r="A488">
        <f t="shared" si="14"/>
        <v>20221564</v>
      </c>
      <c r="B488" t="str">
        <f t="shared" si="15"/>
        <v>T-10</v>
      </c>
      <c r="C488" s="32">
        <v>44891</v>
      </c>
      <c r="D488" s="25">
        <v>64</v>
      </c>
      <c r="E488" t="str" cm="1">
        <f t="array" ref="E488">insertinto(A488:D488,$F$2:$G$5,"pr_Assignments_Results")</f>
        <v>insert into pr_Assignments_Results values ('20221564', 'T-10', '26-Nov-2022', 64);</v>
      </c>
      <c r="H488">
        <v>486</v>
      </c>
    </row>
    <row r="489" spans="1:8" x14ac:dyDescent="0.15">
      <c r="A489">
        <f t="shared" si="14"/>
        <v>20221564</v>
      </c>
      <c r="B489" t="str">
        <f t="shared" si="15"/>
        <v>T-11</v>
      </c>
      <c r="C489" s="32">
        <v>44958</v>
      </c>
      <c r="D489" s="25">
        <v>70</v>
      </c>
      <c r="E489" t="str" cm="1">
        <f t="array" ref="E489">insertinto(A489:D489,$F$2:$G$5,"pr_Assignments_Results")</f>
        <v>insert into pr_Assignments_Results values ('20221564', 'T-11', '01-Feb-2023', 70);</v>
      </c>
      <c r="H489">
        <v>487</v>
      </c>
    </row>
    <row r="490" spans="1:8" x14ac:dyDescent="0.15">
      <c r="A490">
        <f t="shared" si="14"/>
        <v>20221564</v>
      </c>
      <c r="B490" t="str">
        <f t="shared" si="15"/>
        <v>T-12</v>
      </c>
      <c r="C490" s="32">
        <v>44969</v>
      </c>
      <c r="D490" s="25">
        <v>55</v>
      </c>
      <c r="E490" t="str" cm="1">
        <f t="array" ref="E490">insertinto(A490:D490,$F$2:$G$5,"pr_Assignments_Results")</f>
        <v>insert into pr_Assignments_Results values ('20221564', 'T-12', '12-Feb-2023', 55);</v>
      </c>
      <c r="H490">
        <v>488</v>
      </c>
    </row>
    <row r="491" spans="1:8" x14ac:dyDescent="0.15">
      <c r="A491">
        <f t="shared" si="14"/>
        <v>20221564</v>
      </c>
      <c r="B491" t="str">
        <f t="shared" si="15"/>
        <v>T-13</v>
      </c>
      <c r="C491" s="32">
        <v>44983</v>
      </c>
      <c r="D491" s="25">
        <v>59</v>
      </c>
      <c r="E491" t="str" cm="1">
        <f t="array" ref="E491">insertinto(A491:D491,$F$2:$G$5,"pr_Assignments_Results")</f>
        <v>insert into pr_Assignments_Results values ('20221564', 'T-13', '26-Feb-2023', 59);</v>
      </c>
      <c r="H491">
        <v>489</v>
      </c>
    </row>
    <row r="492" spans="1:8" x14ac:dyDescent="0.15">
      <c r="A492">
        <f t="shared" si="14"/>
        <v>20221564</v>
      </c>
      <c r="B492" t="str">
        <f t="shared" si="15"/>
        <v>T-14</v>
      </c>
      <c r="C492" s="32">
        <v>44998</v>
      </c>
      <c r="D492" s="25">
        <v>57</v>
      </c>
      <c r="E492" t="str" cm="1">
        <f t="array" ref="E492">insertinto(A492:D492,$F$2:$G$5,"pr_Assignments_Results")</f>
        <v>insert into pr_Assignments_Results values ('20221564', 'T-14', '13-Mar-2023', 57);</v>
      </c>
      <c r="H492">
        <v>490</v>
      </c>
    </row>
    <row r="493" spans="1:8" x14ac:dyDescent="0.15">
      <c r="A493">
        <f t="shared" si="14"/>
        <v>20221564</v>
      </c>
      <c r="B493" t="str">
        <f t="shared" si="15"/>
        <v>T-15</v>
      </c>
      <c r="C493" s="32">
        <v>44957</v>
      </c>
      <c r="D493" s="25">
        <v>61</v>
      </c>
      <c r="E493" t="str" cm="1">
        <f t="array" ref="E493">insertinto(A493:D493,$F$2:$G$5,"pr_Assignments_Results")</f>
        <v>insert into pr_Assignments_Results values ('20221564', 'T-15', '31-Jan-2023', 61);</v>
      </c>
      <c r="H493">
        <v>491</v>
      </c>
    </row>
    <row r="494" spans="1:8" x14ac:dyDescent="0.15">
      <c r="A494">
        <f t="shared" si="14"/>
        <v>20221564</v>
      </c>
      <c r="B494" t="str">
        <f t="shared" si="15"/>
        <v>T-16</v>
      </c>
      <c r="C494" s="32">
        <v>44968</v>
      </c>
      <c r="D494" s="25">
        <v>75</v>
      </c>
      <c r="E494" t="str" cm="1">
        <f t="array" ref="E494">insertinto(A494:D494,$F$2:$G$5,"pr_Assignments_Results")</f>
        <v>insert into pr_Assignments_Results values ('20221564', 'T-16', '11-Feb-2023', 75);</v>
      </c>
      <c r="H494">
        <v>492</v>
      </c>
    </row>
    <row r="495" spans="1:8" x14ac:dyDescent="0.15">
      <c r="A495">
        <f t="shared" si="14"/>
        <v>20221564</v>
      </c>
      <c r="B495" t="str">
        <f t="shared" si="15"/>
        <v>T-17</v>
      </c>
      <c r="C495" s="32">
        <v>44982</v>
      </c>
      <c r="D495" s="25">
        <v>67</v>
      </c>
      <c r="E495" t="str" cm="1">
        <f t="array" ref="E495">insertinto(A495:D495,$F$2:$G$5,"pr_Assignments_Results")</f>
        <v>insert into pr_Assignments_Results values ('20221564', 'T-17', '25-Feb-2023', 67);</v>
      </c>
      <c r="H495">
        <v>493</v>
      </c>
    </row>
    <row r="496" spans="1:8" x14ac:dyDescent="0.15">
      <c r="A496">
        <f t="shared" si="14"/>
        <v>20221564</v>
      </c>
      <c r="B496" t="str">
        <f t="shared" si="15"/>
        <v>T-18</v>
      </c>
      <c r="C496" s="32">
        <v>44963</v>
      </c>
      <c r="D496" s="25">
        <v>69</v>
      </c>
      <c r="E496" t="str" cm="1">
        <f t="array" ref="E496">insertinto(A496:D496,$F$2:$G$5,"pr_Assignments_Results")</f>
        <v>insert into pr_Assignments_Results values ('20221564', 'T-18', '06-Feb-2023', 69);</v>
      </c>
      <c r="H496">
        <v>494</v>
      </c>
    </row>
    <row r="497" spans="1:8" x14ac:dyDescent="0.15">
      <c r="A497">
        <f t="shared" si="14"/>
        <v>20221564</v>
      </c>
      <c r="B497" t="str">
        <f t="shared" si="15"/>
        <v>T-19</v>
      </c>
      <c r="C497" s="32">
        <v>45046</v>
      </c>
      <c r="D497" s="25">
        <v>76</v>
      </c>
      <c r="E497" t="str" cm="1">
        <f t="array" ref="E497">insertinto(A497:D497,$F$2:$G$5,"pr_Assignments_Results")</f>
        <v>insert into pr_Assignments_Results values ('20221564', 'T-19', '30-Apr-2023', 76);</v>
      </c>
      <c r="H497">
        <v>495</v>
      </c>
    </row>
    <row r="498" spans="1:8" x14ac:dyDescent="0.15">
      <c r="A498">
        <f t="shared" si="14"/>
        <v>20221564</v>
      </c>
      <c r="B498" t="str">
        <f t="shared" si="15"/>
        <v>T-20</v>
      </c>
      <c r="C498" s="32">
        <v>45053</v>
      </c>
      <c r="D498" s="25">
        <v>55</v>
      </c>
      <c r="E498" t="str" cm="1">
        <f t="array" ref="E498">insertinto(A498:D498,$F$2:$G$5,"pr_Assignments_Results")</f>
        <v>insert into pr_Assignments_Results values ('20221564', 'T-20', '07-May-2023', 55);</v>
      </c>
      <c r="H498">
        <v>496</v>
      </c>
    </row>
    <row r="499" spans="1:8" x14ac:dyDescent="0.15">
      <c r="A499">
        <f t="shared" si="14"/>
        <v>20221564</v>
      </c>
      <c r="B499" t="str">
        <f t="shared" si="15"/>
        <v>T-21</v>
      </c>
      <c r="C499" s="32">
        <v>45060</v>
      </c>
      <c r="D499" s="25">
        <v>58</v>
      </c>
      <c r="E499" t="str" cm="1">
        <f t="array" ref="E499">insertinto(A499:D499,$F$2:$G$5,"pr_Assignments_Results")</f>
        <v>insert into pr_Assignments_Results values ('20221564', 'T-21', '14-May-2023', 58);</v>
      </c>
      <c r="H499">
        <v>497</v>
      </c>
    </row>
    <row r="500" spans="1:8" x14ac:dyDescent="0.15">
      <c r="A500">
        <f t="shared" si="14"/>
        <v>20221564</v>
      </c>
      <c r="B500" t="str">
        <f t="shared" si="15"/>
        <v>T-22</v>
      </c>
      <c r="C500" s="32">
        <v>45071</v>
      </c>
      <c r="D500" s="25">
        <v>62</v>
      </c>
      <c r="E500" t="str" cm="1">
        <f t="array" ref="E500">insertinto(A500:D500,$F$2:$G$5,"pr_Assignments_Results")</f>
        <v>insert into pr_Assignments_Results values ('20221564', 'T-22', '25-May-2023', 62);</v>
      </c>
      <c r="H500">
        <v>498</v>
      </c>
    </row>
    <row r="501" spans="1:8" x14ac:dyDescent="0.15">
      <c r="A501">
        <f t="shared" si="14"/>
        <v>20221564</v>
      </c>
      <c r="B501" t="str">
        <f t="shared" si="15"/>
        <v>T-23</v>
      </c>
      <c r="C501" s="32">
        <v>45208</v>
      </c>
      <c r="D501" s="25">
        <v>72</v>
      </c>
      <c r="E501" t="str" cm="1">
        <f t="array" ref="E501">insertinto(A501:D501,$F$2:$G$5,"pr_Assignments_Results")</f>
        <v>insert into pr_Assignments_Results values ('20221564', 'T-23', '09-Oct-2023', 72);</v>
      </c>
      <c r="H501">
        <v>499</v>
      </c>
    </row>
    <row r="502" spans="1:8" x14ac:dyDescent="0.15">
      <c r="A502">
        <f t="shared" si="14"/>
        <v>20221564</v>
      </c>
      <c r="B502" t="str">
        <f t="shared" si="15"/>
        <v>T-24</v>
      </c>
      <c r="C502" s="32">
        <v>45225</v>
      </c>
      <c r="D502" s="25">
        <v>72</v>
      </c>
      <c r="E502" t="str" cm="1">
        <f t="array" ref="E502">insertinto(A502:D502,$F$2:$G$5,"pr_Assignments_Results")</f>
        <v>insert into pr_Assignments_Results values ('20221564', 'T-24', '26-Oct-2023', 72);</v>
      </c>
      <c r="H502">
        <v>500</v>
      </c>
    </row>
    <row r="503" spans="1:8" x14ac:dyDescent="0.15">
      <c r="A503">
        <f t="shared" si="14"/>
        <v>20221564</v>
      </c>
      <c r="B503" t="str">
        <f t="shared" si="15"/>
        <v>T-25</v>
      </c>
      <c r="C503" s="32">
        <v>44886</v>
      </c>
      <c r="D503" s="25">
        <v>71</v>
      </c>
      <c r="E503" t="str" cm="1">
        <f t="array" ref="E503">insertinto(A503:D503,$F$2:$G$5,"pr_Assignments_Results")</f>
        <v>insert into pr_Assignments_Results values ('20221564', 'T-25', '21-Nov-2022', 71);</v>
      </c>
      <c r="H503">
        <v>501</v>
      </c>
    </row>
    <row r="504" spans="1:8" x14ac:dyDescent="0.15">
      <c r="A504">
        <f t="shared" si="14"/>
        <v>20221564</v>
      </c>
      <c r="B504" t="str">
        <f t="shared" si="15"/>
        <v>T-26</v>
      </c>
      <c r="C504" s="32">
        <v>45215</v>
      </c>
      <c r="D504" s="25">
        <v>62</v>
      </c>
      <c r="E504" t="str" cm="1">
        <f t="array" ref="E504">insertinto(A504:D504,$F$2:$G$5,"pr_Assignments_Results")</f>
        <v>insert into pr_Assignments_Results values ('20221564', 'T-26', '16-Oct-2023', 62);</v>
      </c>
      <c r="H504">
        <v>502</v>
      </c>
    </row>
    <row r="505" spans="1:8" x14ac:dyDescent="0.15">
      <c r="A505">
        <f t="shared" si="14"/>
        <v>20221564</v>
      </c>
      <c r="B505" t="str">
        <f t="shared" si="15"/>
        <v>T-27</v>
      </c>
      <c r="C505" s="32">
        <v>45234</v>
      </c>
      <c r="D505" s="25">
        <v>74</v>
      </c>
      <c r="E505" t="str" cm="1">
        <f t="array" ref="E505">insertinto(A505:D505,$F$2:$G$5,"pr_Assignments_Results")</f>
        <v>insert into pr_Assignments_Results values ('20221564', 'T-27', '04-Nov-2023', 74);</v>
      </c>
      <c r="H505">
        <v>503</v>
      </c>
    </row>
    <row r="506" spans="1:8" x14ac:dyDescent="0.15">
      <c r="A506">
        <f t="shared" si="14"/>
        <v>20221564</v>
      </c>
      <c r="B506" t="str">
        <f t="shared" si="15"/>
        <v>T-28</v>
      </c>
      <c r="C506" s="32">
        <v>45260</v>
      </c>
      <c r="D506" s="25">
        <v>65</v>
      </c>
      <c r="E506" t="str" cm="1">
        <f t="array" ref="E506">insertinto(A506:D506,$F$2:$G$5,"pr_Assignments_Results")</f>
        <v>insert into pr_Assignments_Results values ('20221564', 'T-28', '30-Nov-2023', 65);</v>
      </c>
      <c r="H506">
        <v>504</v>
      </c>
    </row>
    <row r="507" spans="1:8" x14ac:dyDescent="0.15">
      <c r="A507">
        <f t="shared" si="14"/>
        <v>20221564</v>
      </c>
      <c r="B507" t="str">
        <f t="shared" si="15"/>
        <v>T-29</v>
      </c>
      <c r="C507" s="32">
        <v>44950</v>
      </c>
      <c r="D507" s="25">
        <v>70</v>
      </c>
      <c r="E507" t="str" cm="1">
        <f t="array" ref="E507">insertinto(A507:D507,$F$2:$G$5,"pr_Assignments_Results")</f>
        <v>insert into pr_Assignments_Results values ('20221564', 'T-29', '24-Jan-2023', 70);</v>
      </c>
      <c r="H507">
        <v>505</v>
      </c>
    </row>
    <row r="508" spans="1:8" x14ac:dyDescent="0.15">
      <c r="A508">
        <f t="shared" si="14"/>
        <v>20221564</v>
      </c>
      <c r="B508" t="str">
        <f t="shared" si="15"/>
        <v>T-30</v>
      </c>
      <c r="C508" s="32">
        <v>45215</v>
      </c>
      <c r="D508" s="25">
        <v>75</v>
      </c>
      <c r="E508" t="str" cm="1">
        <f t="array" ref="E508">insertinto(A508:D508,$F$2:$G$5,"pr_Assignments_Results")</f>
        <v>insert into pr_Assignments_Results values ('20221564', 'T-30', '16-Oct-2023', 75);</v>
      </c>
      <c r="H508">
        <v>506</v>
      </c>
    </row>
    <row r="509" spans="1:8" x14ac:dyDescent="0.15">
      <c r="A509">
        <f t="shared" si="14"/>
        <v>20221564</v>
      </c>
      <c r="B509" t="str">
        <f t="shared" si="15"/>
        <v>T-31</v>
      </c>
      <c r="C509" s="32">
        <v>45230</v>
      </c>
      <c r="D509" s="25">
        <v>70</v>
      </c>
      <c r="E509" t="str" cm="1">
        <f t="array" ref="E509">insertinto(A509:D509,$F$2:$G$5,"pr_Assignments_Results")</f>
        <v>insert into pr_Assignments_Results values ('20221564', 'T-31', '31-Oct-2023', 70);</v>
      </c>
      <c r="H509">
        <v>507</v>
      </c>
    </row>
    <row r="510" spans="1:8" x14ac:dyDescent="0.15">
      <c r="A510">
        <f t="shared" si="14"/>
        <v>20221564</v>
      </c>
      <c r="B510" t="str">
        <f t="shared" si="15"/>
        <v>T-32</v>
      </c>
      <c r="C510" s="32">
        <v>45248</v>
      </c>
      <c r="D510" s="25">
        <v>70</v>
      </c>
      <c r="E510" t="str" cm="1">
        <f t="array" ref="E510">insertinto(A510:D510,$F$2:$G$5,"pr_Assignments_Results")</f>
        <v>insert into pr_Assignments_Results values ('20221564', 'T-32', '18-Nov-2023', 70);</v>
      </c>
      <c r="H510">
        <v>508</v>
      </c>
    </row>
    <row r="511" spans="1:8" x14ac:dyDescent="0.15">
      <c r="A511">
        <f t="shared" si="14"/>
        <v>20221564</v>
      </c>
      <c r="B511" t="str">
        <f t="shared" si="15"/>
        <v>T-33</v>
      </c>
      <c r="C511" s="32">
        <v>45262</v>
      </c>
      <c r="D511" s="25">
        <v>67</v>
      </c>
      <c r="E511" t="str" cm="1">
        <f t="array" ref="E511">insertinto(A511:D511,$F$2:$G$5,"pr_Assignments_Results")</f>
        <v>insert into pr_Assignments_Results values ('20221564', 'T-33', '02-Dec-2023', 67);</v>
      </c>
      <c r="H511">
        <v>509</v>
      </c>
    </row>
    <row r="512" spans="1:8" x14ac:dyDescent="0.15">
      <c r="A512">
        <f t="shared" si="14"/>
        <v>20224484</v>
      </c>
      <c r="B512" t="str">
        <f t="shared" si="15"/>
        <v>T-00</v>
      </c>
      <c r="C512" s="32">
        <v>44844</v>
      </c>
      <c r="D512" s="25">
        <v>27</v>
      </c>
      <c r="E512" t="str" cm="1">
        <f t="array" ref="E512">insertinto(A512:D512,$F$2:$G$5,"pr_Assignments_Results")</f>
        <v>insert into pr_Assignments_Results values ('20224484', 'T-00', '10-Oct-2022', 27);</v>
      </c>
      <c r="H512">
        <v>510</v>
      </c>
    </row>
    <row r="513" spans="1:8" x14ac:dyDescent="0.15">
      <c r="A513">
        <f t="shared" si="14"/>
        <v>20224484</v>
      </c>
      <c r="B513" t="str">
        <f t="shared" si="15"/>
        <v>T-01</v>
      </c>
      <c r="C513" s="32">
        <v>44851</v>
      </c>
      <c r="D513" s="25">
        <v>33</v>
      </c>
      <c r="E513" t="str" cm="1">
        <f t="array" ref="E513">insertinto(A513:D513,$F$2:$G$5,"pr_Assignments_Results")</f>
        <v>insert into pr_Assignments_Results values ('20224484', 'T-01', '17-Oct-2022', 33);</v>
      </c>
      <c r="H513">
        <v>511</v>
      </c>
    </row>
    <row r="514" spans="1:8" x14ac:dyDescent="0.15">
      <c r="A514">
        <f t="shared" ref="A514:A577" si="16">INDEX($I$2:$I$51,INT(H514/34)+1)</f>
        <v>20224484</v>
      </c>
      <c r="B514" t="str">
        <f t="shared" ref="B514:B577" si="17">INDEX($J$2:$J$35,MOD(H514,34)+1)</f>
        <v>T-02</v>
      </c>
      <c r="C514" s="32">
        <v>44872</v>
      </c>
      <c r="D514" s="25">
        <v>15</v>
      </c>
      <c r="E514" t="str" cm="1">
        <f t="array" ref="E514">insertinto(A514:D514,$F$2:$G$5,"pr_Assignments_Results")</f>
        <v>insert into pr_Assignments_Results values ('20224484', 'T-02', '07-Nov-2022', 15);</v>
      </c>
      <c r="H514">
        <v>512</v>
      </c>
    </row>
    <row r="515" spans="1:8" x14ac:dyDescent="0.15">
      <c r="A515">
        <f t="shared" si="16"/>
        <v>20224484</v>
      </c>
      <c r="B515" t="str">
        <f t="shared" si="17"/>
        <v>T-03</v>
      </c>
      <c r="C515" s="32">
        <v>44884</v>
      </c>
      <c r="D515" s="25">
        <v>10</v>
      </c>
      <c r="E515" t="str" cm="1">
        <f t="array" ref="E515">insertinto(A515:D515,$F$2:$G$5,"pr_Assignments_Results")</f>
        <v>insert into pr_Assignments_Results values ('20224484', 'T-03', '19-Nov-2022', 10);</v>
      </c>
      <c r="H515">
        <v>513</v>
      </c>
    </row>
    <row r="516" spans="1:8" x14ac:dyDescent="0.15">
      <c r="A516">
        <f t="shared" si="16"/>
        <v>20224484</v>
      </c>
      <c r="B516" t="str">
        <f t="shared" si="17"/>
        <v>T-04</v>
      </c>
      <c r="C516" s="32">
        <v>44852</v>
      </c>
      <c r="D516" s="25">
        <v>29</v>
      </c>
      <c r="E516" t="str" cm="1">
        <f t="array" ref="E516">insertinto(A516:D516,$F$2:$G$5,"pr_Assignments_Results")</f>
        <v>insert into pr_Assignments_Results values ('20224484', 'T-04', '18-Oct-2022', 29);</v>
      </c>
      <c r="H516">
        <v>514</v>
      </c>
    </row>
    <row r="517" spans="1:8" x14ac:dyDescent="0.15">
      <c r="A517">
        <f t="shared" si="16"/>
        <v>20224484</v>
      </c>
      <c r="B517" t="str">
        <f t="shared" si="17"/>
        <v>T-05</v>
      </c>
      <c r="C517" s="32">
        <v>44839</v>
      </c>
      <c r="D517" s="25">
        <v>23</v>
      </c>
      <c r="E517" t="str" cm="1">
        <f t="array" ref="E517">insertinto(A517:D517,$F$2:$G$5,"pr_Assignments_Results")</f>
        <v>insert into pr_Assignments_Results values ('20224484', 'T-05', '05-Oct-2022', 23);</v>
      </c>
      <c r="H517">
        <v>515</v>
      </c>
    </row>
    <row r="518" spans="1:8" x14ac:dyDescent="0.15">
      <c r="A518">
        <f t="shared" si="16"/>
        <v>20224484</v>
      </c>
      <c r="B518" t="str">
        <f t="shared" si="17"/>
        <v>T-06</v>
      </c>
      <c r="C518" s="32">
        <v>44890</v>
      </c>
      <c r="D518" s="25">
        <v>46</v>
      </c>
      <c r="E518" t="str" cm="1">
        <f t="array" ref="E518">insertinto(A518:D518,$F$2:$G$5,"pr_Assignments_Results")</f>
        <v>insert into pr_Assignments_Results values ('20224484', 'T-06', '25-Nov-2022', 46);</v>
      </c>
      <c r="H518">
        <v>516</v>
      </c>
    </row>
    <row r="519" spans="1:8" x14ac:dyDescent="0.15">
      <c r="A519">
        <f t="shared" si="16"/>
        <v>20224484</v>
      </c>
      <c r="B519" t="str">
        <f t="shared" si="17"/>
        <v>T-07</v>
      </c>
      <c r="C519" s="32">
        <v>44840</v>
      </c>
      <c r="D519" s="25">
        <v>49</v>
      </c>
      <c r="E519" t="str" cm="1">
        <f t="array" ref="E519">insertinto(A519:D519,$F$2:$G$5,"pr_Assignments_Results")</f>
        <v>insert into pr_Assignments_Results values ('20224484', 'T-07', '06-Oct-2022', 49);</v>
      </c>
      <c r="H519">
        <v>517</v>
      </c>
    </row>
    <row r="520" spans="1:8" x14ac:dyDescent="0.15">
      <c r="A520">
        <f t="shared" si="16"/>
        <v>20224484</v>
      </c>
      <c r="B520" t="str">
        <f t="shared" si="17"/>
        <v>T-08</v>
      </c>
      <c r="C520" s="32">
        <v>44852</v>
      </c>
      <c r="D520" s="25">
        <v>3</v>
      </c>
      <c r="E520" t="str" cm="1">
        <f t="array" ref="E520">insertinto(A520:D520,$F$2:$G$5,"pr_Assignments_Results")</f>
        <v>insert into pr_Assignments_Results values ('20224484', 'T-08', '18-Oct-2022', 3);</v>
      </c>
      <c r="H520">
        <v>518</v>
      </c>
    </row>
    <row r="521" spans="1:8" x14ac:dyDescent="0.15">
      <c r="A521">
        <f t="shared" si="16"/>
        <v>20224484</v>
      </c>
      <c r="B521" t="str">
        <f t="shared" si="17"/>
        <v>T-09</v>
      </c>
      <c r="C521" s="32">
        <v>44882</v>
      </c>
      <c r="D521" s="25">
        <v>5</v>
      </c>
      <c r="E521" t="str" cm="1">
        <f t="array" ref="E521">insertinto(A521:D521,$F$2:$G$5,"pr_Assignments_Results")</f>
        <v>insert into pr_Assignments_Results values ('20224484', 'T-09', '17-Nov-2022', 5);</v>
      </c>
      <c r="H521">
        <v>519</v>
      </c>
    </row>
    <row r="522" spans="1:8" x14ac:dyDescent="0.15">
      <c r="A522">
        <f t="shared" si="16"/>
        <v>20224484</v>
      </c>
      <c r="B522" t="str">
        <f t="shared" si="17"/>
        <v>T-10</v>
      </c>
      <c r="C522" s="32">
        <v>44895</v>
      </c>
      <c r="D522" s="25">
        <v>31</v>
      </c>
      <c r="E522" t="str" cm="1">
        <f t="array" ref="E522">insertinto(A522:D522,$F$2:$G$5,"pr_Assignments_Results")</f>
        <v>insert into pr_Assignments_Results values ('20224484', 'T-10', '30-Nov-2022', 31);</v>
      </c>
      <c r="H522">
        <v>520</v>
      </c>
    </row>
    <row r="523" spans="1:8" x14ac:dyDescent="0.15">
      <c r="A523">
        <f t="shared" si="16"/>
        <v>20224484</v>
      </c>
      <c r="B523" t="str">
        <f t="shared" si="17"/>
        <v>T-11</v>
      </c>
      <c r="C523" s="32">
        <v>44953</v>
      </c>
      <c r="D523" s="25">
        <v>3</v>
      </c>
      <c r="E523" t="str" cm="1">
        <f t="array" ref="E523">insertinto(A523:D523,$F$2:$G$5,"pr_Assignments_Results")</f>
        <v>insert into pr_Assignments_Results values ('20224484', 'T-11', '27-Jan-2023', 3);</v>
      </c>
      <c r="H523">
        <v>521</v>
      </c>
    </row>
    <row r="524" spans="1:8" x14ac:dyDescent="0.15">
      <c r="A524">
        <f t="shared" si="16"/>
        <v>20224484</v>
      </c>
      <c r="B524" t="str">
        <f t="shared" si="17"/>
        <v>T-12</v>
      </c>
      <c r="C524" s="32">
        <v>44975</v>
      </c>
      <c r="D524" s="25">
        <v>28</v>
      </c>
      <c r="E524" t="str" cm="1">
        <f t="array" ref="E524">insertinto(A524:D524,$F$2:$G$5,"pr_Assignments_Results")</f>
        <v>insert into pr_Assignments_Results values ('20224484', 'T-12', '18-Feb-2023', 28);</v>
      </c>
      <c r="H524">
        <v>522</v>
      </c>
    </row>
    <row r="525" spans="1:8" x14ac:dyDescent="0.15">
      <c r="A525">
        <f t="shared" si="16"/>
        <v>20224484</v>
      </c>
      <c r="B525" t="str">
        <f t="shared" si="17"/>
        <v>T-13</v>
      </c>
      <c r="C525" s="32">
        <v>44988</v>
      </c>
      <c r="D525" s="25">
        <v>8</v>
      </c>
      <c r="E525" t="str" cm="1">
        <f t="array" ref="E525">insertinto(A525:D525,$F$2:$G$5,"pr_Assignments_Results")</f>
        <v>insert into pr_Assignments_Results values ('20224484', 'T-13', '03-Mar-2023', 8);</v>
      </c>
      <c r="H525">
        <v>523</v>
      </c>
    </row>
    <row r="526" spans="1:8" x14ac:dyDescent="0.15">
      <c r="A526">
        <f t="shared" si="16"/>
        <v>20224484</v>
      </c>
      <c r="B526" t="str">
        <f t="shared" si="17"/>
        <v>T-14</v>
      </c>
      <c r="C526" s="32">
        <v>44995</v>
      </c>
      <c r="D526" s="25">
        <v>50</v>
      </c>
      <c r="E526" t="str" cm="1">
        <f t="array" ref="E526">insertinto(A526:D526,$F$2:$G$5,"pr_Assignments_Results")</f>
        <v>insert into pr_Assignments_Results values ('20224484', 'T-14', '10-Mar-2023', 50);</v>
      </c>
      <c r="H526">
        <v>524</v>
      </c>
    </row>
    <row r="527" spans="1:8" x14ac:dyDescent="0.15">
      <c r="A527">
        <f t="shared" si="16"/>
        <v>20224484</v>
      </c>
      <c r="B527" t="str">
        <f t="shared" si="17"/>
        <v>T-15</v>
      </c>
      <c r="C527" s="32">
        <v>44952</v>
      </c>
      <c r="D527" s="25">
        <v>8</v>
      </c>
      <c r="E527" t="str" cm="1">
        <f t="array" ref="E527">insertinto(A527:D527,$F$2:$G$5,"pr_Assignments_Results")</f>
        <v>insert into pr_Assignments_Results values ('20224484', 'T-15', '26-Jan-2023', 8);</v>
      </c>
      <c r="H527">
        <v>525</v>
      </c>
    </row>
    <row r="528" spans="1:8" x14ac:dyDescent="0.15">
      <c r="A528">
        <f t="shared" si="16"/>
        <v>20224484</v>
      </c>
      <c r="B528" t="str">
        <f t="shared" si="17"/>
        <v>T-16</v>
      </c>
      <c r="C528" s="32">
        <v>44968</v>
      </c>
      <c r="D528" s="25">
        <v>52</v>
      </c>
      <c r="E528" t="str" cm="1">
        <f t="array" ref="E528">insertinto(A528:D528,$F$2:$G$5,"pr_Assignments_Results")</f>
        <v>insert into pr_Assignments_Results values ('20224484', 'T-16', '11-Feb-2023', 52);</v>
      </c>
      <c r="H528">
        <v>526</v>
      </c>
    </row>
    <row r="529" spans="1:8" x14ac:dyDescent="0.15">
      <c r="A529">
        <f t="shared" si="16"/>
        <v>20224484</v>
      </c>
      <c r="B529" t="str">
        <f t="shared" si="17"/>
        <v>T-17</v>
      </c>
      <c r="C529" s="32">
        <v>44984</v>
      </c>
      <c r="D529" s="25">
        <v>46</v>
      </c>
      <c r="E529" t="str" cm="1">
        <f t="array" ref="E529">insertinto(A529:D529,$F$2:$G$5,"pr_Assignments_Results")</f>
        <v>insert into pr_Assignments_Results values ('20224484', 'T-17', '27-Feb-2023', 46);</v>
      </c>
      <c r="H529">
        <v>527</v>
      </c>
    </row>
    <row r="530" spans="1:8" x14ac:dyDescent="0.15">
      <c r="A530">
        <f t="shared" si="16"/>
        <v>20224484</v>
      </c>
      <c r="B530" t="str">
        <f t="shared" si="17"/>
        <v>T-18</v>
      </c>
      <c r="C530" s="32">
        <v>44961</v>
      </c>
      <c r="D530" s="25">
        <v>1</v>
      </c>
      <c r="E530" t="str" cm="1">
        <f t="array" ref="E530">insertinto(A530:D530,$F$2:$G$5,"pr_Assignments_Results")</f>
        <v>insert into pr_Assignments_Results values ('20224484', 'T-18', '04-Feb-2023', 1);</v>
      </c>
      <c r="H530">
        <v>528</v>
      </c>
    </row>
    <row r="531" spans="1:8" x14ac:dyDescent="0.15">
      <c r="A531">
        <f t="shared" si="16"/>
        <v>20224484</v>
      </c>
      <c r="B531" t="str">
        <f t="shared" si="17"/>
        <v>T-19</v>
      </c>
      <c r="C531" s="32">
        <v>45047</v>
      </c>
      <c r="D531" s="25">
        <v>51</v>
      </c>
      <c r="E531" t="str" cm="1">
        <f t="array" ref="E531">insertinto(A531:D531,$F$2:$G$5,"pr_Assignments_Results")</f>
        <v>insert into pr_Assignments_Results values ('20224484', 'T-19', '01-May-2023', 51);</v>
      </c>
      <c r="H531">
        <v>529</v>
      </c>
    </row>
    <row r="532" spans="1:8" x14ac:dyDescent="0.15">
      <c r="A532">
        <f t="shared" si="16"/>
        <v>20224484</v>
      </c>
      <c r="B532" t="str">
        <f t="shared" si="17"/>
        <v>T-20</v>
      </c>
      <c r="C532" s="32">
        <v>45049</v>
      </c>
      <c r="D532" s="25">
        <v>51</v>
      </c>
      <c r="E532" t="str" cm="1">
        <f t="array" ref="E532">insertinto(A532:D532,$F$2:$G$5,"pr_Assignments_Results")</f>
        <v>insert into pr_Assignments_Results values ('20224484', 'T-20', '03-May-2023', 51);</v>
      </c>
      <c r="H532">
        <v>530</v>
      </c>
    </row>
    <row r="533" spans="1:8" x14ac:dyDescent="0.15">
      <c r="A533">
        <f t="shared" si="16"/>
        <v>20224484</v>
      </c>
      <c r="B533" t="str">
        <f t="shared" si="17"/>
        <v>T-21</v>
      </c>
      <c r="C533" s="32">
        <v>45062</v>
      </c>
      <c r="D533" s="25">
        <v>47</v>
      </c>
      <c r="E533" t="str" cm="1">
        <f t="array" ref="E533">insertinto(A533:D533,$F$2:$G$5,"pr_Assignments_Results")</f>
        <v>insert into pr_Assignments_Results values ('20224484', 'T-21', '16-May-2023', 47);</v>
      </c>
      <c r="H533">
        <v>531</v>
      </c>
    </row>
    <row r="534" spans="1:8" x14ac:dyDescent="0.15">
      <c r="A534">
        <f t="shared" si="16"/>
        <v>20224484</v>
      </c>
      <c r="B534" t="str">
        <f t="shared" si="17"/>
        <v>T-22</v>
      </c>
      <c r="C534" s="32">
        <v>45077</v>
      </c>
      <c r="D534" s="25">
        <v>26</v>
      </c>
      <c r="E534" t="str" cm="1">
        <f t="array" ref="E534">insertinto(A534:D534,$F$2:$G$5,"pr_Assignments_Results")</f>
        <v>insert into pr_Assignments_Results values ('20224484', 'T-22', '31-May-2023', 26);</v>
      </c>
      <c r="H534">
        <v>532</v>
      </c>
    </row>
    <row r="535" spans="1:8" x14ac:dyDescent="0.15">
      <c r="A535">
        <f t="shared" si="16"/>
        <v>20224484</v>
      </c>
      <c r="B535" t="str">
        <f t="shared" si="17"/>
        <v>T-23</v>
      </c>
      <c r="C535" s="32">
        <v>45205</v>
      </c>
      <c r="D535" s="25">
        <v>34</v>
      </c>
      <c r="E535" t="str" cm="1">
        <f t="array" ref="E535">insertinto(A535:D535,$F$2:$G$5,"pr_Assignments_Results")</f>
        <v>insert into pr_Assignments_Results values ('20224484', 'T-23', '06-Oct-2023', 34);</v>
      </c>
      <c r="H535">
        <v>533</v>
      </c>
    </row>
    <row r="536" spans="1:8" x14ac:dyDescent="0.15">
      <c r="A536">
        <f t="shared" si="16"/>
        <v>20224484</v>
      </c>
      <c r="B536" t="str">
        <f t="shared" si="17"/>
        <v>T-24</v>
      </c>
      <c r="C536" s="32">
        <v>45227</v>
      </c>
      <c r="D536" s="25">
        <v>5</v>
      </c>
      <c r="E536" t="str" cm="1">
        <f t="array" ref="E536">insertinto(A536:D536,$F$2:$G$5,"pr_Assignments_Results")</f>
        <v>insert into pr_Assignments_Results values ('20224484', 'T-24', '28-Oct-2023', 5);</v>
      </c>
      <c r="H536">
        <v>534</v>
      </c>
    </row>
    <row r="537" spans="1:8" x14ac:dyDescent="0.15">
      <c r="A537">
        <f t="shared" si="16"/>
        <v>20224484</v>
      </c>
      <c r="B537" t="str">
        <f t="shared" si="17"/>
        <v>T-25</v>
      </c>
      <c r="C537" s="32">
        <v>44890</v>
      </c>
      <c r="D537" s="25">
        <v>6</v>
      </c>
      <c r="E537" t="str" cm="1">
        <f t="array" ref="E537">insertinto(A537:D537,$F$2:$G$5,"pr_Assignments_Results")</f>
        <v>insert into pr_Assignments_Results values ('20224484', 'T-25', '25-Nov-2022', 6);</v>
      </c>
      <c r="H537">
        <v>535</v>
      </c>
    </row>
    <row r="538" spans="1:8" x14ac:dyDescent="0.15">
      <c r="A538">
        <f t="shared" si="16"/>
        <v>20224484</v>
      </c>
      <c r="B538" t="str">
        <f t="shared" si="17"/>
        <v>T-26</v>
      </c>
      <c r="C538" s="32">
        <v>45209</v>
      </c>
      <c r="D538" s="25">
        <v>28</v>
      </c>
      <c r="E538" t="str" cm="1">
        <f t="array" ref="E538">insertinto(A538:D538,$F$2:$G$5,"pr_Assignments_Results")</f>
        <v>insert into pr_Assignments_Results values ('20224484', 'T-26', '10-Oct-2023', 28);</v>
      </c>
      <c r="H538">
        <v>536</v>
      </c>
    </row>
    <row r="539" spans="1:8" x14ac:dyDescent="0.15">
      <c r="A539">
        <f t="shared" si="16"/>
        <v>20224484</v>
      </c>
      <c r="B539" t="str">
        <f t="shared" si="17"/>
        <v>T-27</v>
      </c>
      <c r="C539" s="32">
        <v>45231</v>
      </c>
      <c r="D539" s="25">
        <v>28</v>
      </c>
      <c r="E539" t="str" cm="1">
        <f t="array" ref="E539">insertinto(A539:D539,$F$2:$G$5,"pr_Assignments_Results")</f>
        <v>insert into pr_Assignments_Results values ('20224484', 'T-27', '01-Nov-2023', 28);</v>
      </c>
      <c r="H539">
        <v>537</v>
      </c>
    </row>
    <row r="540" spans="1:8" x14ac:dyDescent="0.15">
      <c r="A540">
        <f t="shared" si="16"/>
        <v>20224484</v>
      </c>
      <c r="B540" t="str">
        <f t="shared" si="17"/>
        <v>T-28</v>
      </c>
      <c r="C540" s="32">
        <v>45260</v>
      </c>
      <c r="D540" s="25">
        <v>23</v>
      </c>
      <c r="E540" t="str" cm="1">
        <f t="array" ref="E540">insertinto(A540:D540,$F$2:$G$5,"pr_Assignments_Results")</f>
        <v>insert into pr_Assignments_Results values ('20224484', 'T-28', '30-Nov-2023', 23);</v>
      </c>
      <c r="H540">
        <v>538</v>
      </c>
    </row>
    <row r="541" spans="1:8" x14ac:dyDescent="0.15">
      <c r="A541">
        <f t="shared" si="16"/>
        <v>20224484</v>
      </c>
      <c r="B541" t="str">
        <f t="shared" si="17"/>
        <v>T-29</v>
      </c>
      <c r="C541" s="32">
        <v>44950</v>
      </c>
      <c r="D541" s="25">
        <v>14</v>
      </c>
      <c r="E541" t="str" cm="1">
        <f t="array" ref="E541">insertinto(A541:D541,$F$2:$G$5,"pr_Assignments_Results")</f>
        <v>insert into pr_Assignments_Results values ('20224484', 'T-29', '24-Jan-2023', 14);</v>
      </c>
      <c r="H541">
        <v>539</v>
      </c>
    </row>
    <row r="542" spans="1:8" x14ac:dyDescent="0.15">
      <c r="A542">
        <f t="shared" si="16"/>
        <v>20224484</v>
      </c>
      <c r="B542" t="str">
        <f t="shared" si="17"/>
        <v>T-30</v>
      </c>
      <c r="C542" s="32">
        <v>45211</v>
      </c>
      <c r="D542" s="25">
        <v>23</v>
      </c>
      <c r="E542" t="str" cm="1">
        <f t="array" ref="E542">insertinto(A542:D542,$F$2:$G$5,"pr_Assignments_Results")</f>
        <v>insert into pr_Assignments_Results values ('20224484', 'T-30', '12-Oct-2023', 23);</v>
      </c>
      <c r="H542">
        <v>540</v>
      </c>
    </row>
    <row r="543" spans="1:8" x14ac:dyDescent="0.15">
      <c r="A543">
        <f t="shared" si="16"/>
        <v>20224484</v>
      </c>
      <c r="B543" t="str">
        <f t="shared" si="17"/>
        <v>T-31</v>
      </c>
      <c r="C543" s="32">
        <v>45229</v>
      </c>
      <c r="D543" s="25">
        <v>22</v>
      </c>
      <c r="E543" t="str" cm="1">
        <f t="array" ref="E543">insertinto(A543:D543,$F$2:$G$5,"pr_Assignments_Results")</f>
        <v>insert into pr_Assignments_Results values ('20224484', 'T-31', '30-Oct-2023', 22);</v>
      </c>
      <c r="H543">
        <v>541</v>
      </c>
    </row>
    <row r="544" spans="1:8" x14ac:dyDescent="0.15">
      <c r="A544">
        <f t="shared" si="16"/>
        <v>20224484</v>
      </c>
      <c r="B544" t="str">
        <f t="shared" si="17"/>
        <v>T-32</v>
      </c>
      <c r="C544" s="32">
        <v>45245</v>
      </c>
      <c r="D544" s="25">
        <v>23</v>
      </c>
      <c r="E544" t="str" cm="1">
        <f t="array" ref="E544">insertinto(A544:D544,$F$2:$G$5,"pr_Assignments_Results")</f>
        <v>insert into pr_Assignments_Results values ('20224484', 'T-32', '15-Nov-2023', 23);</v>
      </c>
      <c r="H544">
        <v>542</v>
      </c>
    </row>
    <row r="545" spans="1:8" x14ac:dyDescent="0.15">
      <c r="A545">
        <f t="shared" si="16"/>
        <v>20224484</v>
      </c>
      <c r="B545" t="str">
        <f t="shared" si="17"/>
        <v>T-33</v>
      </c>
      <c r="C545" s="32">
        <v>45259</v>
      </c>
      <c r="D545" s="25">
        <v>43</v>
      </c>
      <c r="E545" t="str" cm="1">
        <f t="array" ref="E545">insertinto(A545:D545,$F$2:$G$5,"pr_Assignments_Results")</f>
        <v>insert into pr_Assignments_Results values ('20224484', 'T-33', '29-Nov-2023', 43);</v>
      </c>
      <c r="H545">
        <v>543</v>
      </c>
    </row>
    <row r="546" spans="1:8" x14ac:dyDescent="0.15">
      <c r="A546">
        <f t="shared" si="16"/>
        <v>20226724</v>
      </c>
      <c r="B546" t="str">
        <f t="shared" si="17"/>
        <v>T-00</v>
      </c>
      <c r="C546" s="32">
        <v>44841</v>
      </c>
      <c r="D546" s="25">
        <v>40</v>
      </c>
      <c r="E546" t="str" cm="1">
        <f t="array" ref="E546">insertinto(A546:D546,$F$2:$G$5,"pr_Assignments_Results")</f>
        <v>insert into pr_Assignments_Results values ('20226724', 'T-00', '07-Oct-2022', 40);</v>
      </c>
      <c r="H546">
        <v>544</v>
      </c>
    </row>
    <row r="547" spans="1:8" x14ac:dyDescent="0.15">
      <c r="A547">
        <f t="shared" si="16"/>
        <v>20226724</v>
      </c>
      <c r="B547" t="str">
        <f t="shared" si="17"/>
        <v>T-01</v>
      </c>
      <c r="C547" s="32">
        <v>44851</v>
      </c>
      <c r="D547" s="25">
        <v>4</v>
      </c>
      <c r="E547" t="str" cm="1">
        <f t="array" ref="E547">insertinto(A547:D547,$F$2:$G$5,"pr_Assignments_Results")</f>
        <v>insert into pr_Assignments_Results values ('20226724', 'T-01', '17-Oct-2022', 4);</v>
      </c>
      <c r="H547">
        <v>545</v>
      </c>
    </row>
    <row r="548" spans="1:8" x14ac:dyDescent="0.15">
      <c r="A548">
        <f t="shared" si="16"/>
        <v>20226724</v>
      </c>
      <c r="B548" t="str">
        <f t="shared" si="17"/>
        <v>T-02</v>
      </c>
      <c r="C548" s="32">
        <v>44873</v>
      </c>
      <c r="D548" s="25">
        <v>31</v>
      </c>
      <c r="E548" t="str" cm="1">
        <f t="array" ref="E548">insertinto(A548:D548,$F$2:$G$5,"pr_Assignments_Results")</f>
        <v>insert into pr_Assignments_Results values ('20226724', 'T-02', '08-Nov-2022', 31);</v>
      </c>
      <c r="H548">
        <v>546</v>
      </c>
    </row>
    <row r="549" spans="1:8" x14ac:dyDescent="0.15">
      <c r="A549">
        <f t="shared" si="16"/>
        <v>20226724</v>
      </c>
      <c r="B549" t="str">
        <f t="shared" si="17"/>
        <v>T-03</v>
      </c>
      <c r="C549" s="32">
        <v>44885</v>
      </c>
      <c r="D549" s="25">
        <v>39</v>
      </c>
      <c r="E549" t="str" cm="1">
        <f t="array" ref="E549">insertinto(A549:D549,$F$2:$G$5,"pr_Assignments_Results")</f>
        <v>insert into pr_Assignments_Results values ('20226724', 'T-03', '20-Nov-2022', 39);</v>
      </c>
      <c r="H549">
        <v>547</v>
      </c>
    </row>
    <row r="550" spans="1:8" x14ac:dyDescent="0.15">
      <c r="A550">
        <f t="shared" si="16"/>
        <v>20226724</v>
      </c>
      <c r="B550" t="str">
        <f t="shared" si="17"/>
        <v>T-04</v>
      </c>
      <c r="C550" s="32">
        <v>44852</v>
      </c>
      <c r="D550" s="25">
        <v>39</v>
      </c>
      <c r="E550" t="str" cm="1">
        <f t="array" ref="E550">insertinto(A550:D550,$F$2:$G$5,"pr_Assignments_Results")</f>
        <v>insert into pr_Assignments_Results values ('20226724', 'T-04', '18-Oct-2022', 39);</v>
      </c>
      <c r="H550">
        <v>548</v>
      </c>
    </row>
    <row r="551" spans="1:8" x14ac:dyDescent="0.15">
      <c r="A551">
        <f t="shared" si="16"/>
        <v>20226724</v>
      </c>
      <c r="B551" t="str">
        <f t="shared" si="17"/>
        <v>T-05</v>
      </c>
      <c r="C551" s="32">
        <v>44842</v>
      </c>
      <c r="D551" s="25">
        <v>13</v>
      </c>
      <c r="E551" t="str" cm="1">
        <f t="array" ref="E551">insertinto(A551:D551,$F$2:$G$5,"pr_Assignments_Results")</f>
        <v>insert into pr_Assignments_Results values ('20226724', 'T-05', '08-Oct-2022', 13);</v>
      </c>
      <c r="H551">
        <v>549</v>
      </c>
    </row>
    <row r="552" spans="1:8" x14ac:dyDescent="0.15">
      <c r="A552">
        <f t="shared" si="16"/>
        <v>20226724</v>
      </c>
      <c r="B552" t="str">
        <f t="shared" si="17"/>
        <v>T-06</v>
      </c>
      <c r="C552" s="32">
        <v>44892</v>
      </c>
      <c r="D552" s="25">
        <v>14</v>
      </c>
      <c r="E552" t="str" cm="1">
        <f t="array" ref="E552">insertinto(A552:D552,$F$2:$G$5,"pr_Assignments_Results")</f>
        <v>insert into pr_Assignments_Results values ('20226724', 'T-06', '27-Nov-2022', 14);</v>
      </c>
      <c r="H552">
        <v>550</v>
      </c>
    </row>
    <row r="553" spans="1:8" x14ac:dyDescent="0.15">
      <c r="A553">
        <f t="shared" si="16"/>
        <v>20226724</v>
      </c>
      <c r="B553" t="str">
        <f t="shared" si="17"/>
        <v>T-07</v>
      </c>
      <c r="C553" s="32">
        <v>44842</v>
      </c>
      <c r="D553" s="25">
        <v>24</v>
      </c>
      <c r="E553" t="str" cm="1">
        <f t="array" ref="E553">insertinto(A553:D553,$F$2:$G$5,"pr_Assignments_Results")</f>
        <v>insert into pr_Assignments_Results values ('20226724', 'T-07', '08-Oct-2022', 24);</v>
      </c>
      <c r="H553">
        <v>551</v>
      </c>
    </row>
    <row r="554" spans="1:8" x14ac:dyDescent="0.15">
      <c r="A554">
        <f t="shared" si="16"/>
        <v>20226724</v>
      </c>
      <c r="B554" t="str">
        <f t="shared" si="17"/>
        <v>T-08</v>
      </c>
      <c r="C554" s="32">
        <v>44852</v>
      </c>
      <c r="D554" s="25">
        <v>40</v>
      </c>
      <c r="E554" t="str" cm="1">
        <f t="array" ref="E554">insertinto(A554:D554,$F$2:$G$5,"pr_Assignments_Results")</f>
        <v>insert into pr_Assignments_Results values ('20226724', 'T-08', '18-Oct-2022', 40);</v>
      </c>
      <c r="H554">
        <v>552</v>
      </c>
    </row>
    <row r="555" spans="1:8" x14ac:dyDescent="0.15">
      <c r="A555">
        <f t="shared" si="16"/>
        <v>20226724</v>
      </c>
      <c r="B555" t="str">
        <f t="shared" si="17"/>
        <v>T-09</v>
      </c>
      <c r="C555" s="32">
        <v>44882</v>
      </c>
      <c r="D555" s="25">
        <v>10</v>
      </c>
      <c r="E555" t="str" cm="1">
        <f t="array" ref="E555">insertinto(A555:D555,$F$2:$G$5,"pr_Assignments_Results")</f>
        <v>insert into pr_Assignments_Results values ('20226724', 'T-09', '17-Nov-2022', 10);</v>
      </c>
      <c r="H555">
        <v>553</v>
      </c>
    </row>
    <row r="556" spans="1:8" x14ac:dyDescent="0.15">
      <c r="A556">
        <f t="shared" si="16"/>
        <v>20226724</v>
      </c>
      <c r="B556" t="str">
        <f t="shared" si="17"/>
        <v>T-10</v>
      </c>
      <c r="C556" s="32">
        <v>44895</v>
      </c>
      <c r="D556" s="25">
        <v>4</v>
      </c>
      <c r="E556" t="str" cm="1">
        <f t="array" ref="E556">insertinto(A556:D556,$F$2:$G$5,"pr_Assignments_Results")</f>
        <v>insert into pr_Assignments_Results values ('20226724', 'T-10', '30-Nov-2022', 4);</v>
      </c>
      <c r="H556">
        <v>554</v>
      </c>
    </row>
    <row r="557" spans="1:8" x14ac:dyDescent="0.15">
      <c r="A557">
        <f t="shared" si="16"/>
        <v>20226724</v>
      </c>
      <c r="B557" t="str">
        <f t="shared" si="17"/>
        <v>T-11</v>
      </c>
      <c r="C557" s="32">
        <v>44957</v>
      </c>
      <c r="D557" s="25">
        <v>18</v>
      </c>
      <c r="E557" t="str" cm="1">
        <f t="array" ref="E557">insertinto(A557:D557,$F$2:$G$5,"pr_Assignments_Results")</f>
        <v>insert into pr_Assignments_Results values ('20226724', 'T-11', '31-Jan-2023', 18);</v>
      </c>
      <c r="H557">
        <v>555</v>
      </c>
    </row>
    <row r="558" spans="1:8" x14ac:dyDescent="0.15">
      <c r="A558">
        <f t="shared" si="16"/>
        <v>20226724</v>
      </c>
      <c r="B558" t="str">
        <f t="shared" si="17"/>
        <v>T-12</v>
      </c>
      <c r="C558" s="32">
        <v>44973</v>
      </c>
      <c r="D558" s="25">
        <v>26</v>
      </c>
      <c r="E558" t="str" cm="1">
        <f t="array" ref="E558">insertinto(A558:D558,$F$2:$G$5,"pr_Assignments_Results")</f>
        <v>insert into pr_Assignments_Results values ('20226724', 'T-12', '16-Feb-2023', 26);</v>
      </c>
      <c r="H558">
        <v>556</v>
      </c>
    </row>
    <row r="559" spans="1:8" x14ac:dyDescent="0.15">
      <c r="A559">
        <f t="shared" si="16"/>
        <v>20226724</v>
      </c>
      <c r="B559" t="str">
        <f t="shared" si="17"/>
        <v>T-13</v>
      </c>
      <c r="C559" s="32">
        <v>44987</v>
      </c>
      <c r="D559" s="25">
        <v>4</v>
      </c>
      <c r="E559" t="str" cm="1">
        <f t="array" ref="E559">insertinto(A559:D559,$F$2:$G$5,"pr_Assignments_Results")</f>
        <v>insert into pr_Assignments_Results values ('20226724', 'T-13', '02-Mar-2023', 4);</v>
      </c>
      <c r="H559">
        <v>557</v>
      </c>
    </row>
    <row r="560" spans="1:8" x14ac:dyDescent="0.15">
      <c r="A560">
        <f t="shared" si="16"/>
        <v>20226724</v>
      </c>
      <c r="B560" t="str">
        <f t="shared" si="17"/>
        <v>T-14</v>
      </c>
      <c r="C560" s="32">
        <v>44994</v>
      </c>
      <c r="D560" s="25">
        <v>34</v>
      </c>
      <c r="E560" t="str" cm="1">
        <f t="array" ref="E560">insertinto(A560:D560,$F$2:$G$5,"pr_Assignments_Results")</f>
        <v>insert into pr_Assignments_Results values ('20226724', 'T-14', '09-Mar-2023', 34);</v>
      </c>
      <c r="H560">
        <v>558</v>
      </c>
    </row>
    <row r="561" spans="1:8" x14ac:dyDescent="0.15">
      <c r="A561">
        <f t="shared" si="16"/>
        <v>20226724</v>
      </c>
      <c r="B561" t="str">
        <f t="shared" si="17"/>
        <v>T-15</v>
      </c>
      <c r="C561" s="32">
        <v>44958</v>
      </c>
      <c r="D561" s="25">
        <v>45</v>
      </c>
      <c r="E561" t="str" cm="1">
        <f t="array" ref="E561">insertinto(A561:D561,$F$2:$G$5,"pr_Assignments_Results")</f>
        <v>insert into pr_Assignments_Results values ('20226724', 'T-15', '01-Feb-2023', 45);</v>
      </c>
      <c r="H561">
        <v>559</v>
      </c>
    </row>
    <row r="562" spans="1:8" x14ac:dyDescent="0.15">
      <c r="A562">
        <f t="shared" si="16"/>
        <v>20226724</v>
      </c>
      <c r="B562" t="str">
        <f t="shared" si="17"/>
        <v>T-16</v>
      </c>
      <c r="C562" s="32">
        <v>44968</v>
      </c>
      <c r="D562" s="25">
        <v>38</v>
      </c>
      <c r="E562" t="str" cm="1">
        <f t="array" ref="E562">insertinto(A562:D562,$F$2:$G$5,"pr_Assignments_Results")</f>
        <v>insert into pr_Assignments_Results values ('20226724', 'T-16', '11-Feb-2023', 38);</v>
      </c>
      <c r="H562">
        <v>560</v>
      </c>
    </row>
    <row r="563" spans="1:8" x14ac:dyDescent="0.15">
      <c r="A563">
        <f t="shared" si="16"/>
        <v>20226724</v>
      </c>
      <c r="B563" t="str">
        <f t="shared" si="17"/>
        <v>T-17</v>
      </c>
      <c r="C563" s="32">
        <v>44982</v>
      </c>
      <c r="D563" s="25">
        <v>12</v>
      </c>
      <c r="E563" t="str" cm="1">
        <f t="array" ref="E563">insertinto(A563:D563,$F$2:$G$5,"pr_Assignments_Results")</f>
        <v>insert into pr_Assignments_Results values ('20226724', 'T-17', '25-Feb-2023', 12);</v>
      </c>
      <c r="H563">
        <v>561</v>
      </c>
    </row>
    <row r="564" spans="1:8" x14ac:dyDescent="0.15">
      <c r="A564">
        <f t="shared" si="16"/>
        <v>20226724</v>
      </c>
      <c r="B564" t="str">
        <f t="shared" si="17"/>
        <v>T-18</v>
      </c>
      <c r="C564" s="32">
        <v>44961</v>
      </c>
      <c r="D564" s="25">
        <v>42</v>
      </c>
      <c r="E564" t="str" cm="1">
        <f t="array" ref="E564">insertinto(A564:D564,$F$2:$G$5,"pr_Assignments_Results")</f>
        <v>insert into pr_Assignments_Results values ('20226724', 'T-18', '04-Feb-2023', 42);</v>
      </c>
      <c r="H564">
        <v>562</v>
      </c>
    </row>
    <row r="565" spans="1:8" x14ac:dyDescent="0.15">
      <c r="A565">
        <f t="shared" si="16"/>
        <v>20226724</v>
      </c>
      <c r="B565" t="str">
        <f t="shared" si="17"/>
        <v>T-19</v>
      </c>
      <c r="C565" s="32">
        <v>45046</v>
      </c>
      <c r="D565" s="25">
        <v>22</v>
      </c>
      <c r="E565" t="str" cm="1">
        <f t="array" ref="E565">insertinto(A565:D565,$F$2:$G$5,"pr_Assignments_Results")</f>
        <v>insert into pr_Assignments_Results values ('20226724', 'T-19', '30-Apr-2023', 22);</v>
      </c>
      <c r="H565">
        <v>563</v>
      </c>
    </row>
    <row r="566" spans="1:8" x14ac:dyDescent="0.15">
      <c r="A566">
        <f t="shared" si="16"/>
        <v>20226724</v>
      </c>
      <c r="B566" t="str">
        <f t="shared" si="17"/>
        <v>T-20</v>
      </c>
      <c r="C566" s="32">
        <v>45049</v>
      </c>
      <c r="D566" s="25">
        <v>15</v>
      </c>
      <c r="E566" t="str" cm="1">
        <f t="array" ref="E566">insertinto(A566:D566,$F$2:$G$5,"pr_Assignments_Results")</f>
        <v>insert into pr_Assignments_Results values ('20226724', 'T-20', '03-May-2023', 15);</v>
      </c>
      <c r="H566">
        <v>564</v>
      </c>
    </row>
    <row r="567" spans="1:8" x14ac:dyDescent="0.15">
      <c r="A567">
        <f t="shared" si="16"/>
        <v>20226724</v>
      </c>
      <c r="B567" t="str">
        <f t="shared" si="17"/>
        <v>T-21</v>
      </c>
      <c r="C567" s="32">
        <v>45058</v>
      </c>
      <c r="D567" s="25">
        <v>11</v>
      </c>
      <c r="E567" t="str" cm="1">
        <f t="array" ref="E567">insertinto(A567:D567,$F$2:$G$5,"pr_Assignments_Results")</f>
        <v>insert into pr_Assignments_Results values ('20226724', 'T-21', '12-May-2023', 11);</v>
      </c>
      <c r="H567">
        <v>565</v>
      </c>
    </row>
    <row r="568" spans="1:8" x14ac:dyDescent="0.15">
      <c r="A568">
        <f t="shared" si="16"/>
        <v>20226724</v>
      </c>
      <c r="B568" t="str">
        <f t="shared" si="17"/>
        <v>T-22</v>
      </c>
      <c r="C568" s="32">
        <v>45076</v>
      </c>
      <c r="D568" s="25">
        <v>22</v>
      </c>
      <c r="E568" t="str" cm="1">
        <f t="array" ref="E568">insertinto(A568:D568,$F$2:$G$5,"pr_Assignments_Results")</f>
        <v>insert into pr_Assignments_Results values ('20226724', 'T-22', '30-May-2023', 22);</v>
      </c>
      <c r="H568">
        <v>566</v>
      </c>
    </row>
    <row r="569" spans="1:8" x14ac:dyDescent="0.15">
      <c r="A569">
        <f t="shared" si="16"/>
        <v>20226724</v>
      </c>
      <c r="B569" t="str">
        <f t="shared" si="17"/>
        <v>T-23</v>
      </c>
      <c r="C569" s="32">
        <v>45208</v>
      </c>
      <c r="D569" s="25">
        <v>40</v>
      </c>
      <c r="E569" t="str" cm="1">
        <f t="array" ref="E569">insertinto(A569:D569,$F$2:$G$5,"pr_Assignments_Results")</f>
        <v>insert into pr_Assignments_Results values ('20226724', 'T-23', '09-Oct-2023', 40);</v>
      </c>
      <c r="H569">
        <v>567</v>
      </c>
    </row>
    <row r="570" spans="1:8" x14ac:dyDescent="0.15">
      <c r="A570">
        <f t="shared" si="16"/>
        <v>20226724</v>
      </c>
      <c r="B570" t="str">
        <f t="shared" si="17"/>
        <v>T-24</v>
      </c>
      <c r="C570" s="32">
        <v>45226</v>
      </c>
      <c r="D570" s="25">
        <v>42</v>
      </c>
      <c r="E570" t="str" cm="1">
        <f t="array" ref="E570">insertinto(A570:D570,$F$2:$G$5,"pr_Assignments_Results")</f>
        <v>insert into pr_Assignments_Results values ('20226724', 'T-24', '27-Oct-2023', 42);</v>
      </c>
      <c r="H570">
        <v>568</v>
      </c>
    </row>
    <row r="571" spans="1:8" x14ac:dyDescent="0.15">
      <c r="A571">
        <f t="shared" si="16"/>
        <v>20226724</v>
      </c>
      <c r="B571" t="str">
        <f t="shared" si="17"/>
        <v>T-25</v>
      </c>
      <c r="C571" s="32">
        <v>44889</v>
      </c>
      <c r="D571" s="25">
        <v>20</v>
      </c>
      <c r="E571" t="str" cm="1">
        <f t="array" ref="E571">insertinto(A571:D571,$F$2:$G$5,"pr_Assignments_Results")</f>
        <v>insert into pr_Assignments_Results values ('20226724', 'T-25', '24-Nov-2022', 20);</v>
      </c>
      <c r="H571">
        <v>569</v>
      </c>
    </row>
    <row r="572" spans="1:8" x14ac:dyDescent="0.15">
      <c r="A572">
        <f t="shared" si="16"/>
        <v>20226724</v>
      </c>
      <c r="B572" t="str">
        <f t="shared" si="17"/>
        <v>T-26</v>
      </c>
      <c r="C572" s="32">
        <v>45210</v>
      </c>
      <c r="D572" s="25">
        <v>49</v>
      </c>
      <c r="E572" t="str" cm="1">
        <f t="array" ref="E572">insertinto(A572:D572,$F$2:$G$5,"pr_Assignments_Results")</f>
        <v>insert into pr_Assignments_Results values ('20226724', 'T-26', '11-Oct-2023', 49);</v>
      </c>
      <c r="H572">
        <v>570</v>
      </c>
    </row>
    <row r="573" spans="1:8" x14ac:dyDescent="0.15">
      <c r="A573">
        <f t="shared" si="16"/>
        <v>20226724</v>
      </c>
      <c r="B573" t="str">
        <f t="shared" si="17"/>
        <v>T-27</v>
      </c>
      <c r="C573" s="32">
        <v>45234</v>
      </c>
      <c r="D573" s="25">
        <v>49</v>
      </c>
      <c r="E573" t="str" cm="1">
        <f t="array" ref="E573">insertinto(A573:D573,$F$2:$G$5,"pr_Assignments_Results")</f>
        <v>insert into pr_Assignments_Results values ('20226724', 'T-27', '04-Nov-2023', 49);</v>
      </c>
      <c r="H573">
        <v>571</v>
      </c>
    </row>
    <row r="574" spans="1:8" x14ac:dyDescent="0.15">
      <c r="A574">
        <f t="shared" si="16"/>
        <v>20226724</v>
      </c>
      <c r="B574" t="str">
        <f t="shared" si="17"/>
        <v>T-28</v>
      </c>
      <c r="C574" s="32">
        <v>45262</v>
      </c>
      <c r="D574" s="25">
        <v>25</v>
      </c>
      <c r="E574" t="str" cm="1">
        <f t="array" ref="E574">insertinto(A574:D574,$F$2:$G$5,"pr_Assignments_Results")</f>
        <v>insert into pr_Assignments_Results values ('20226724', 'T-28', '02-Dec-2023', 25);</v>
      </c>
      <c r="H574">
        <v>572</v>
      </c>
    </row>
    <row r="575" spans="1:8" x14ac:dyDescent="0.15">
      <c r="A575">
        <f t="shared" si="16"/>
        <v>20226724</v>
      </c>
      <c r="B575" t="str">
        <f t="shared" si="17"/>
        <v>T-29</v>
      </c>
      <c r="C575" s="32">
        <v>44948</v>
      </c>
      <c r="D575" s="25">
        <v>33</v>
      </c>
      <c r="E575" t="str" cm="1">
        <f t="array" ref="E575">insertinto(A575:D575,$F$2:$G$5,"pr_Assignments_Results")</f>
        <v>insert into pr_Assignments_Results values ('20226724', 'T-29', '22-Jan-2023', 33);</v>
      </c>
      <c r="H575">
        <v>573</v>
      </c>
    </row>
    <row r="576" spans="1:8" x14ac:dyDescent="0.15">
      <c r="A576">
        <f t="shared" si="16"/>
        <v>20226724</v>
      </c>
      <c r="B576" t="str">
        <f t="shared" si="17"/>
        <v>T-30</v>
      </c>
      <c r="C576" s="32">
        <v>45212</v>
      </c>
      <c r="D576" s="25">
        <v>4</v>
      </c>
      <c r="E576" t="str" cm="1">
        <f t="array" ref="E576">insertinto(A576:D576,$F$2:$G$5,"pr_Assignments_Results")</f>
        <v>insert into pr_Assignments_Results values ('20226724', 'T-30', '13-Oct-2023', 4);</v>
      </c>
      <c r="H576">
        <v>574</v>
      </c>
    </row>
    <row r="577" spans="1:8" x14ac:dyDescent="0.15">
      <c r="A577">
        <f t="shared" si="16"/>
        <v>20226724</v>
      </c>
      <c r="B577" t="str">
        <f t="shared" si="17"/>
        <v>T-31</v>
      </c>
      <c r="C577" s="32">
        <v>45229</v>
      </c>
      <c r="D577" s="25">
        <v>33</v>
      </c>
      <c r="E577" t="str" cm="1">
        <f t="array" ref="E577">insertinto(A577:D577,$F$2:$G$5,"pr_Assignments_Results")</f>
        <v>insert into pr_Assignments_Results values ('20226724', 'T-31', '30-Oct-2023', 33);</v>
      </c>
      <c r="H577">
        <v>575</v>
      </c>
    </row>
    <row r="578" spans="1:8" x14ac:dyDescent="0.15">
      <c r="A578">
        <f t="shared" ref="A578:A641" si="18">INDEX($I$2:$I$51,INT(H578/34)+1)</f>
        <v>20226724</v>
      </c>
      <c r="B578" t="str">
        <f t="shared" ref="B578:B641" si="19">INDEX($J$2:$J$35,MOD(H578,34)+1)</f>
        <v>T-32</v>
      </c>
      <c r="C578" s="32">
        <v>45248</v>
      </c>
      <c r="D578" s="25">
        <v>9</v>
      </c>
      <c r="E578" t="str" cm="1">
        <f t="array" ref="E578">insertinto(A578:D578,$F$2:$G$5,"pr_Assignments_Results")</f>
        <v>insert into pr_Assignments_Results values ('20226724', 'T-32', '18-Nov-2023', 9);</v>
      </c>
      <c r="H578">
        <v>576</v>
      </c>
    </row>
    <row r="579" spans="1:8" x14ac:dyDescent="0.15">
      <c r="A579">
        <f t="shared" si="18"/>
        <v>20226724</v>
      </c>
      <c r="B579" t="str">
        <f t="shared" si="19"/>
        <v>T-33</v>
      </c>
      <c r="C579" s="32">
        <v>45257</v>
      </c>
      <c r="D579" s="25">
        <v>10</v>
      </c>
      <c r="E579" t="str" cm="1">
        <f t="array" ref="E579">insertinto(A579:D579,$F$2:$G$5,"pr_Assignments_Results")</f>
        <v>insert into pr_Assignments_Results values ('20226724', 'T-33', '27-Nov-2023', 10);</v>
      </c>
      <c r="H579">
        <v>577</v>
      </c>
    </row>
    <row r="580" spans="1:8" x14ac:dyDescent="0.15">
      <c r="A580">
        <f t="shared" si="18"/>
        <v>20225519</v>
      </c>
      <c r="B580" t="str">
        <f t="shared" si="19"/>
        <v>T-00</v>
      </c>
      <c r="C580" s="32">
        <v>44847</v>
      </c>
      <c r="D580" s="25">
        <v>52</v>
      </c>
      <c r="E580" t="str" cm="1">
        <f t="array" ref="E580">insertinto(A580:D580,$F$2:$G$5,"pr_Assignments_Results")</f>
        <v>insert into pr_Assignments_Results values ('20225519', 'T-00', '13-Oct-2022', 52);</v>
      </c>
      <c r="H580">
        <v>578</v>
      </c>
    </row>
    <row r="581" spans="1:8" x14ac:dyDescent="0.15">
      <c r="A581">
        <f t="shared" si="18"/>
        <v>20225519</v>
      </c>
      <c r="B581" t="str">
        <f t="shared" si="19"/>
        <v>T-01</v>
      </c>
      <c r="C581" s="32">
        <v>44848</v>
      </c>
      <c r="D581" s="25">
        <v>52</v>
      </c>
      <c r="E581" t="str" cm="1">
        <f t="array" ref="E581">insertinto(A581:D581,$F$2:$G$5,"pr_Assignments_Results")</f>
        <v>insert into pr_Assignments_Results values ('20225519', 'T-01', '14-Oct-2022', 52);</v>
      </c>
      <c r="H581">
        <v>579</v>
      </c>
    </row>
    <row r="582" spans="1:8" x14ac:dyDescent="0.15">
      <c r="A582">
        <f t="shared" si="18"/>
        <v>20225519</v>
      </c>
      <c r="B582" t="str">
        <f t="shared" si="19"/>
        <v>T-02</v>
      </c>
      <c r="C582" s="32">
        <v>44876</v>
      </c>
      <c r="D582" s="25">
        <v>24</v>
      </c>
      <c r="E582" t="str" cm="1">
        <f t="array" ref="E582">insertinto(A582:D582,$F$2:$G$5,"pr_Assignments_Results")</f>
        <v>insert into pr_Assignments_Results values ('20225519', 'T-02', '11-Nov-2022', 24);</v>
      </c>
      <c r="H582">
        <v>580</v>
      </c>
    </row>
    <row r="583" spans="1:8" x14ac:dyDescent="0.15">
      <c r="A583">
        <f t="shared" si="18"/>
        <v>20225519</v>
      </c>
      <c r="B583" t="str">
        <f t="shared" si="19"/>
        <v>T-03</v>
      </c>
      <c r="C583" s="32">
        <v>44882</v>
      </c>
      <c r="D583" s="25">
        <v>36</v>
      </c>
      <c r="E583" t="str" cm="1">
        <f t="array" ref="E583">insertinto(A583:D583,$F$2:$G$5,"pr_Assignments_Results")</f>
        <v>insert into pr_Assignments_Results values ('20225519', 'T-03', '17-Nov-2022', 36);</v>
      </c>
      <c r="H583">
        <v>581</v>
      </c>
    </row>
    <row r="584" spans="1:8" x14ac:dyDescent="0.15">
      <c r="A584">
        <f t="shared" si="18"/>
        <v>20225519</v>
      </c>
      <c r="B584" t="str">
        <f t="shared" si="19"/>
        <v>T-04</v>
      </c>
      <c r="C584" s="32">
        <v>44849</v>
      </c>
      <c r="D584" s="25">
        <v>9</v>
      </c>
      <c r="E584" t="str" cm="1">
        <f t="array" ref="E584">insertinto(A584:D584,$F$2:$G$5,"pr_Assignments_Results")</f>
        <v>insert into pr_Assignments_Results values ('20225519', 'T-04', '15-Oct-2022', 9);</v>
      </c>
      <c r="H584">
        <v>582</v>
      </c>
    </row>
    <row r="585" spans="1:8" x14ac:dyDescent="0.15">
      <c r="A585">
        <f t="shared" si="18"/>
        <v>20225519</v>
      </c>
      <c r="B585" t="str">
        <f t="shared" si="19"/>
        <v>T-05</v>
      </c>
      <c r="C585" s="32">
        <v>44838</v>
      </c>
      <c r="D585" s="25">
        <v>22</v>
      </c>
      <c r="E585" t="str" cm="1">
        <f t="array" ref="E585">insertinto(A585:D585,$F$2:$G$5,"pr_Assignments_Results")</f>
        <v>insert into pr_Assignments_Results values ('20225519', 'T-05', '04-Oct-2022', 22);</v>
      </c>
      <c r="H585">
        <v>583</v>
      </c>
    </row>
    <row r="586" spans="1:8" x14ac:dyDescent="0.15">
      <c r="A586">
        <f t="shared" si="18"/>
        <v>20225519</v>
      </c>
      <c r="B586" t="str">
        <f t="shared" si="19"/>
        <v>T-06</v>
      </c>
      <c r="C586" s="32">
        <v>44888</v>
      </c>
      <c r="D586" s="25">
        <v>55</v>
      </c>
      <c r="E586" t="str" cm="1">
        <f t="array" ref="E586">insertinto(A586:D586,$F$2:$G$5,"pr_Assignments_Results")</f>
        <v>insert into pr_Assignments_Results values ('20225519', 'T-06', '23-Nov-2022', 55);</v>
      </c>
      <c r="H586">
        <v>584</v>
      </c>
    </row>
    <row r="587" spans="1:8" x14ac:dyDescent="0.15">
      <c r="A587">
        <f t="shared" si="18"/>
        <v>20225519</v>
      </c>
      <c r="B587" t="str">
        <f t="shared" si="19"/>
        <v>T-07</v>
      </c>
      <c r="C587" s="32">
        <v>44844</v>
      </c>
      <c r="D587" s="25">
        <v>25</v>
      </c>
      <c r="E587" t="str" cm="1">
        <f t="array" ref="E587">insertinto(A587:D587,$F$2:$G$5,"pr_Assignments_Results")</f>
        <v>insert into pr_Assignments_Results values ('20225519', 'T-07', '10-Oct-2022', 25);</v>
      </c>
      <c r="H587">
        <v>585</v>
      </c>
    </row>
    <row r="588" spans="1:8" x14ac:dyDescent="0.15">
      <c r="A588">
        <f t="shared" si="18"/>
        <v>20225519</v>
      </c>
      <c r="B588" t="str">
        <f t="shared" si="19"/>
        <v>T-08</v>
      </c>
      <c r="C588" s="32">
        <v>44853</v>
      </c>
      <c r="D588" s="25">
        <v>55</v>
      </c>
      <c r="E588" t="str" cm="1">
        <f t="array" ref="E588">insertinto(A588:D588,$F$2:$G$5,"pr_Assignments_Results")</f>
        <v>insert into pr_Assignments_Results values ('20225519', 'T-08', '19-Oct-2022', 55);</v>
      </c>
      <c r="H588">
        <v>586</v>
      </c>
    </row>
    <row r="589" spans="1:8" x14ac:dyDescent="0.15">
      <c r="A589">
        <f t="shared" si="18"/>
        <v>20225519</v>
      </c>
      <c r="B589" t="str">
        <f t="shared" si="19"/>
        <v>T-09</v>
      </c>
      <c r="C589" s="32">
        <v>44879</v>
      </c>
      <c r="D589" s="25">
        <v>30</v>
      </c>
      <c r="E589" t="str" cm="1">
        <f t="array" ref="E589">insertinto(A589:D589,$F$2:$G$5,"pr_Assignments_Results")</f>
        <v>insert into pr_Assignments_Results values ('20225519', 'T-09', '14-Nov-2022', 30);</v>
      </c>
      <c r="H589">
        <v>587</v>
      </c>
    </row>
    <row r="590" spans="1:8" x14ac:dyDescent="0.15">
      <c r="A590">
        <f t="shared" si="18"/>
        <v>20225519</v>
      </c>
      <c r="B590" t="str">
        <f t="shared" si="19"/>
        <v>T-10</v>
      </c>
      <c r="C590" s="32">
        <v>44894</v>
      </c>
      <c r="D590" s="25">
        <v>9</v>
      </c>
      <c r="E590" t="str" cm="1">
        <f t="array" ref="E590">insertinto(A590:D590,$F$2:$G$5,"pr_Assignments_Results")</f>
        <v>insert into pr_Assignments_Results values ('20225519', 'T-10', '29-Nov-2022', 9);</v>
      </c>
      <c r="H590">
        <v>588</v>
      </c>
    </row>
    <row r="591" spans="1:8" x14ac:dyDescent="0.15">
      <c r="A591">
        <f t="shared" si="18"/>
        <v>20225519</v>
      </c>
      <c r="B591" t="str">
        <f t="shared" si="19"/>
        <v>T-11</v>
      </c>
      <c r="C591" s="32">
        <v>44953</v>
      </c>
      <c r="D591" s="25">
        <v>55</v>
      </c>
      <c r="E591" t="str" cm="1">
        <f t="array" ref="E591">insertinto(A591:D591,$F$2:$G$5,"pr_Assignments_Results")</f>
        <v>insert into pr_Assignments_Results values ('20225519', 'T-11', '27-Jan-2023', 55);</v>
      </c>
      <c r="H591">
        <v>589</v>
      </c>
    </row>
    <row r="592" spans="1:8" x14ac:dyDescent="0.15">
      <c r="A592">
        <f t="shared" si="18"/>
        <v>20225519</v>
      </c>
      <c r="B592" t="str">
        <f t="shared" si="19"/>
        <v>T-12</v>
      </c>
      <c r="C592" s="32">
        <v>44973</v>
      </c>
      <c r="D592" s="25">
        <v>53</v>
      </c>
      <c r="E592" t="str" cm="1">
        <f t="array" ref="E592">insertinto(A592:D592,$F$2:$G$5,"pr_Assignments_Results")</f>
        <v>insert into pr_Assignments_Results values ('20225519', 'T-12', '16-Feb-2023', 53);</v>
      </c>
      <c r="H592">
        <v>590</v>
      </c>
    </row>
    <row r="593" spans="1:8" x14ac:dyDescent="0.15">
      <c r="A593">
        <f t="shared" si="18"/>
        <v>20225519</v>
      </c>
      <c r="B593" t="str">
        <f t="shared" si="19"/>
        <v>T-13</v>
      </c>
      <c r="C593" s="32">
        <v>44988</v>
      </c>
      <c r="D593" s="25">
        <v>50</v>
      </c>
      <c r="E593" t="str" cm="1">
        <f t="array" ref="E593">insertinto(A593:D593,$F$2:$G$5,"pr_Assignments_Results")</f>
        <v>insert into pr_Assignments_Results values ('20225519', 'T-13', '03-Mar-2023', 50);</v>
      </c>
      <c r="H593">
        <v>591</v>
      </c>
    </row>
    <row r="594" spans="1:8" x14ac:dyDescent="0.15">
      <c r="A594">
        <f t="shared" si="18"/>
        <v>20225519</v>
      </c>
      <c r="B594" t="str">
        <f t="shared" si="19"/>
        <v>T-14</v>
      </c>
      <c r="C594" s="32">
        <v>44996</v>
      </c>
      <c r="D594" s="25">
        <v>54</v>
      </c>
      <c r="E594" t="str" cm="1">
        <f t="array" ref="E594">insertinto(A594:D594,$F$2:$G$5,"pr_Assignments_Results")</f>
        <v>insert into pr_Assignments_Results values ('20225519', 'T-14', '11-Mar-2023', 54);</v>
      </c>
      <c r="H594">
        <v>592</v>
      </c>
    </row>
    <row r="595" spans="1:8" x14ac:dyDescent="0.15">
      <c r="A595">
        <f t="shared" si="18"/>
        <v>20225519</v>
      </c>
      <c r="B595" t="str">
        <f t="shared" si="19"/>
        <v>T-15</v>
      </c>
      <c r="C595" s="32">
        <v>44953</v>
      </c>
      <c r="D595" s="25">
        <v>22</v>
      </c>
      <c r="E595" t="str" cm="1">
        <f t="array" ref="E595">insertinto(A595:D595,$F$2:$G$5,"pr_Assignments_Results")</f>
        <v>insert into pr_Assignments_Results values ('20225519', 'T-15', '27-Jan-2023', 22);</v>
      </c>
      <c r="H595">
        <v>593</v>
      </c>
    </row>
    <row r="596" spans="1:8" x14ac:dyDescent="0.15">
      <c r="A596">
        <f t="shared" si="18"/>
        <v>20225519</v>
      </c>
      <c r="B596" t="str">
        <f t="shared" si="19"/>
        <v>T-16</v>
      </c>
      <c r="C596" s="32">
        <v>44968</v>
      </c>
      <c r="D596" s="25">
        <v>50</v>
      </c>
      <c r="E596" t="str" cm="1">
        <f t="array" ref="E596">insertinto(A596:D596,$F$2:$G$5,"pr_Assignments_Results")</f>
        <v>insert into pr_Assignments_Results values ('20225519', 'T-16', '11-Feb-2023', 50);</v>
      </c>
      <c r="H596">
        <v>594</v>
      </c>
    </row>
    <row r="597" spans="1:8" x14ac:dyDescent="0.15">
      <c r="A597">
        <f t="shared" si="18"/>
        <v>20225519</v>
      </c>
      <c r="B597" t="str">
        <f t="shared" si="19"/>
        <v>T-17</v>
      </c>
      <c r="C597" s="32">
        <v>44986</v>
      </c>
      <c r="D597" s="25">
        <v>3</v>
      </c>
      <c r="E597" t="str" cm="1">
        <f t="array" ref="E597">insertinto(A597:D597,$F$2:$G$5,"pr_Assignments_Results")</f>
        <v>insert into pr_Assignments_Results values ('20225519', 'T-17', '01-Mar-2023', 3);</v>
      </c>
      <c r="H597">
        <v>595</v>
      </c>
    </row>
    <row r="598" spans="1:8" x14ac:dyDescent="0.15">
      <c r="A598">
        <f t="shared" si="18"/>
        <v>20225519</v>
      </c>
      <c r="B598" t="str">
        <f t="shared" si="19"/>
        <v>T-18</v>
      </c>
      <c r="C598" s="32">
        <v>44961</v>
      </c>
      <c r="D598" s="25">
        <v>34</v>
      </c>
      <c r="E598" t="str" cm="1">
        <f t="array" ref="E598">insertinto(A598:D598,$F$2:$G$5,"pr_Assignments_Results")</f>
        <v>insert into pr_Assignments_Results values ('20225519', 'T-18', '04-Feb-2023', 34);</v>
      </c>
      <c r="H598">
        <v>596</v>
      </c>
    </row>
    <row r="599" spans="1:8" x14ac:dyDescent="0.15">
      <c r="A599">
        <f t="shared" si="18"/>
        <v>20225519</v>
      </c>
      <c r="B599" t="str">
        <f t="shared" si="19"/>
        <v>T-19</v>
      </c>
      <c r="C599" s="32">
        <v>45048</v>
      </c>
      <c r="D599" s="25">
        <v>29</v>
      </c>
      <c r="E599" t="str" cm="1">
        <f t="array" ref="E599">insertinto(A599:D599,$F$2:$G$5,"pr_Assignments_Results")</f>
        <v>insert into pr_Assignments_Results values ('20225519', 'T-19', '02-May-2023', 29);</v>
      </c>
      <c r="H599">
        <v>597</v>
      </c>
    </row>
    <row r="600" spans="1:8" x14ac:dyDescent="0.15">
      <c r="A600">
        <f t="shared" si="18"/>
        <v>20225519</v>
      </c>
      <c r="B600" t="str">
        <f t="shared" si="19"/>
        <v>T-20</v>
      </c>
      <c r="C600" s="32">
        <v>45052</v>
      </c>
      <c r="D600" s="25">
        <v>48</v>
      </c>
      <c r="E600" t="str" cm="1">
        <f t="array" ref="E600">insertinto(A600:D600,$F$2:$G$5,"pr_Assignments_Results")</f>
        <v>insert into pr_Assignments_Results values ('20225519', 'T-20', '06-May-2023', 48);</v>
      </c>
      <c r="H600">
        <v>598</v>
      </c>
    </row>
    <row r="601" spans="1:8" x14ac:dyDescent="0.15">
      <c r="A601">
        <f t="shared" si="18"/>
        <v>20225519</v>
      </c>
      <c r="B601" t="str">
        <f t="shared" si="19"/>
        <v>T-21</v>
      </c>
      <c r="C601" s="32">
        <v>45064</v>
      </c>
      <c r="D601" s="25">
        <v>11</v>
      </c>
      <c r="E601" t="str" cm="1">
        <f t="array" ref="E601">insertinto(A601:D601,$F$2:$G$5,"pr_Assignments_Results")</f>
        <v>insert into pr_Assignments_Results values ('20225519', 'T-21', '18-May-2023', 11);</v>
      </c>
      <c r="H601">
        <v>599</v>
      </c>
    </row>
    <row r="602" spans="1:8" x14ac:dyDescent="0.15">
      <c r="A602">
        <f t="shared" si="18"/>
        <v>20225519</v>
      </c>
      <c r="B602" t="str">
        <f t="shared" si="19"/>
        <v>T-22</v>
      </c>
      <c r="C602" s="32">
        <v>45071</v>
      </c>
      <c r="D602" s="25">
        <v>25</v>
      </c>
      <c r="E602" t="str" cm="1">
        <f t="array" ref="E602">insertinto(A602:D602,$F$2:$G$5,"pr_Assignments_Results")</f>
        <v>insert into pr_Assignments_Results values ('20225519', 'T-22', '25-May-2023', 25);</v>
      </c>
      <c r="H602">
        <v>600</v>
      </c>
    </row>
    <row r="603" spans="1:8" x14ac:dyDescent="0.15">
      <c r="A603">
        <f t="shared" si="18"/>
        <v>20225519</v>
      </c>
      <c r="B603" t="str">
        <f t="shared" si="19"/>
        <v>T-23</v>
      </c>
      <c r="C603" s="32">
        <v>45203</v>
      </c>
      <c r="D603" s="25">
        <v>12</v>
      </c>
      <c r="E603" t="str" cm="1">
        <f t="array" ref="E603">insertinto(A603:D603,$F$2:$G$5,"pr_Assignments_Results")</f>
        <v>insert into pr_Assignments_Results values ('20225519', 'T-23', '04-Oct-2023', 12);</v>
      </c>
      <c r="H603">
        <v>601</v>
      </c>
    </row>
    <row r="604" spans="1:8" x14ac:dyDescent="0.15">
      <c r="A604">
        <f t="shared" si="18"/>
        <v>20225519</v>
      </c>
      <c r="B604" t="str">
        <f t="shared" si="19"/>
        <v>T-24</v>
      </c>
      <c r="C604" s="32">
        <v>45226</v>
      </c>
      <c r="D604" s="25">
        <v>11</v>
      </c>
      <c r="E604" t="str" cm="1">
        <f t="array" ref="E604">insertinto(A604:D604,$F$2:$G$5,"pr_Assignments_Results")</f>
        <v>insert into pr_Assignments_Results values ('20225519', 'T-24', '27-Oct-2023', 11);</v>
      </c>
      <c r="H604">
        <v>602</v>
      </c>
    </row>
    <row r="605" spans="1:8" x14ac:dyDescent="0.15">
      <c r="A605">
        <f t="shared" si="18"/>
        <v>20225519</v>
      </c>
      <c r="B605" t="str">
        <f t="shared" si="19"/>
        <v>T-25</v>
      </c>
      <c r="C605" s="32">
        <v>44887</v>
      </c>
      <c r="D605" s="25">
        <v>51</v>
      </c>
      <c r="E605" t="str" cm="1">
        <f t="array" ref="E605">insertinto(A605:D605,$F$2:$G$5,"pr_Assignments_Results")</f>
        <v>insert into pr_Assignments_Results values ('20225519', 'T-25', '22-Nov-2022', 51);</v>
      </c>
      <c r="H605">
        <v>603</v>
      </c>
    </row>
    <row r="606" spans="1:8" x14ac:dyDescent="0.15">
      <c r="A606">
        <f t="shared" si="18"/>
        <v>20225519</v>
      </c>
      <c r="B606" t="str">
        <f t="shared" si="19"/>
        <v>T-26</v>
      </c>
      <c r="C606" s="32">
        <v>45209</v>
      </c>
      <c r="D606" s="25">
        <v>50</v>
      </c>
      <c r="E606" t="str" cm="1">
        <f t="array" ref="E606">insertinto(A606:D606,$F$2:$G$5,"pr_Assignments_Results")</f>
        <v>insert into pr_Assignments_Results values ('20225519', 'T-26', '10-Oct-2023', 50);</v>
      </c>
      <c r="H606">
        <v>604</v>
      </c>
    </row>
    <row r="607" spans="1:8" x14ac:dyDescent="0.15">
      <c r="A607">
        <f t="shared" si="18"/>
        <v>20225519</v>
      </c>
      <c r="B607" t="str">
        <f t="shared" si="19"/>
        <v>T-27</v>
      </c>
      <c r="C607" s="32">
        <v>45235</v>
      </c>
      <c r="D607" s="25">
        <v>50</v>
      </c>
      <c r="E607" t="str" cm="1">
        <f t="array" ref="E607">insertinto(A607:D607,$F$2:$G$5,"pr_Assignments_Results")</f>
        <v>insert into pr_Assignments_Results values ('20225519', 'T-27', '05-Nov-2023', 50);</v>
      </c>
      <c r="H607">
        <v>605</v>
      </c>
    </row>
    <row r="608" spans="1:8" x14ac:dyDescent="0.15">
      <c r="A608">
        <f t="shared" si="18"/>
        <v>20225519</v>
      </c>
      <c r="B608" t="str">
        <f t="shared" si="19"/>
        <v>T-28</v>
      </c>
      <c r="C608" s="32">
        <v>45263</v>
      </c>
      <c r="D608" s="25">
        <v>32</v>
      </c>
      <c r="E608" t="str" cm="1">
        <f t="array" ref="E608">insertinto(A608:D608,$F$2:$G$5,"pr_Assignments_Results")</f>
        <v>insert into pr_Assignments_Results values ('20225519', 'T-28', '03-Dec-2023', 32);</v>
      </c>
      <c r="H608">
        <v>606</v>
      </c>
    </row>
    <row r="609" spans="1:8" x14ac:dyDescent="0.15">
      <c r="A609">
        <f t="shared" si="18"/>
        <v>20225519</v>
      </c>
      <c r="B609" t="str">
        <f t="shared" si="19"/>
        <v>T-29</v>
      </c>
      <c r="C609" s="32">
        <v>44951</v>
      </c>
      <c r="D609" s="25">
        <v>1</v>
      </c>
      <c r="E609" t="str" cm="1">
        <f t="array" ref="E609">insertinto(A609:D609,$F$2:$G$5,"pr_Assignments_Results")</f>
        <v>insert into pr_Assignments_Results values ('20225519', 'T-29', '25-Jan-2023', 1);</v>
      </c>
      <c r="H609">
        <v>607</v>
      </c>
    </row>
    <row r="610" spans="1:8" x14ac:dyDescent="0.15">
      <c r="A610">
        <f t="shared" si="18"/>
        <v>20225519</v>
      </c>
      <c r="B610" t="str">
        <f t="shared" si="19"/>
        <v>T-30</v>
      </c>
      <c r="C610" s="32">
        <v>45209</v>
      </c>
      <c r="D610" s="25">
        <v>18</v>
      </c>
      <c r="E610" t="str" cm="1">
        <f t="array" ref="E610">insertinto(A610:D610,$F$2:$G$5,"pr_Assignments_Results")</f>
        <v>insert into pr_Assignments_Results values ('20225519', 'T-30', '10-Oct-2023', 18);</v>
      </c>
      <c r="H610">
        <v>608</v>
      </c>
    </row>
    <row r="611" spans="1:8" x14ac:dyDescent="0.15">
      <c r="A611">
        <f t="shared" si="18"/>
        <v>20225519</v>
      </c>
      <c r="B611" t="str">
        <f t="shared" si="19"/>
        <v>T-31</v>
      </c>
      <c r="C611" s="32">
        <v>45227</v>
      </c>
      <c r="D611" s="25">
        <v>27</v>
      </c>
      <c r="E611" t="str" cm="1">
        <f t="array" ref="E611">insertinto(A611:D611,$F$2:$G$5,"pr_Assignments_Results")</f>
        <v>insert into pr_Assignments_Results values ('20225519', 'T-31', '28-Oct-2023', 27);</v>
      </c>
      <c r="H611">
        <v>609</v>
      </c>
    </row>
    <row r="612" spans="1:8" x14ac:dyDescent="0.15">
      <c r="A612">
        <f t="shared" si="18"/>
        <v>20225519</v>
      </c>
      <c r="B612" t="str">
        <f t="shared" si="19"/>
        <v>T-32</v>
      </c>
      <c r="C612" s="32">
        <v>45243</v>
      </c>
      <c r="D612" s="25">
        <v>12</v>
      </c>
      <c r="E612" t="str" cm="1">
        <f t="array" ref="E612">insertinto(A612:D612,$F$2:$G$5,"pr_Assignments_Results")</f>
        <v>insert into pr_Assignments_Results values ('20225519', 'T-32', '13-Nov-2023', 12);</v>
      </c>
      <c r="H612">
        <v>610</v>
      </c>
    </row>
    <row r="613" spans="1:8" x14ac:dyDescent="0.15">
      <c r="A613">
        <f t="shared" si="18"/>
        <v>20225519</v>
      </c>
      <c r="B613" t="str">
        <f t="shared" si="19"/>
        <v>T-33</v>
      </c>
      <c r="C613" s="32">
        <v>45256</v>
      </c>
      <c r="D613" s="25">
        <v>51</v>
      </c>
      <c r="E613" t="str" cm="1">
        <f t="array" ref="E613">insertinto(A613:D613,$F$2:$G$5,"pr_Assignments_Results")</f>
        <v>insert into pr_Assignments_Results values ('20225519', 'T-33', '26-Nov-2023', 51);</v>
      </c>
      <c r="H613">
        <v>611</v>
      </c>
    </row>
    <row r="614" spans="1:8" x14ac:dyDescent="0.15">
      <c r="A614">
        <f t="shared" si="18"/>
        <v>20227388</v>
      </c>
      <c r="B614" t="str">
        <f t="shared" si="19"/>
        <v>T-00</v>
      </c>
      <c r="C614" s="32">
        <v>44841</v>
      </c>
      <c r="D614" s="25">
        <v>22</v>
      </c>
      <c r="E614" t="str" cm="1">
        <f t="array" ref="E614">insertinto(A614:D614,$F$2:$G$5,"pr_Assignments_Results")</f>
        <v>insert into pr_Assignments_Results values ('20227388', 'T-00', '07-Oct-2022', 22);</v>
      </c>
      <c r="H614">
        <v>612</v>
      </c>
    </row>
    <row r="615" spans="1:8" x14ac:dyDescent="0.15">
      <c r="A615">
        <f t="shared" si="18"/>
        <v>20227388</v>
      </c>
      <c r="B615" t="str">
        <f t="shared" si="19"/>
        <v>T-01</v>
      </c>
      <c r="C615" s="32">
        <v>44848</v>
      </c>
      <c r="D615" s="25">
        <v>9</v>
      </c>
      <c r="E615" t="str" cm="1">
        <f t="array" ref="E615">insertinto(A615:D615,$F$2:$G$5,"pr_Assignments_Results")</f>
        <v>insert into pr_Assignments_Results values ('20227388', 'T-01', '14-Oct-2022', 9);</v>
      </c>
      <c r="H615">
        <v>613</v>
      </c>
    </row>
    <row r="616" spans="1:8" x14ac:dyDescent="0.15">
      <c r="A616">
        <f t="shared" si="18"/>
        <v>20227388</v>
      </c>
      <c r="B616" t="str">
        <f t="shared" si="19"/>
        <v>T-02</v>
      </c>
      <c r="C616" s="32">
        <v>44874</v>
      </c>
      <c r="D616" s="25">
        <v>52</v>
      </c>
      <c r="E616" t="str" cm="1">
        <f t="array" ref="E616">insertinto(A616:D616,$F$2:$G$5,"pr_Assignments_Results")</f>
        <v>insert into pr_Assignments_Results values ('20227388', 'T-02', '09-Nov-2022', 52);</v>
      </c>
      <c r="H616">
        <v>614</v>
      </c>
    </row>
    <row r="617" spans="1:8" x14ac:dyDescent="0.15">
      <c r="A617">
        <f t="shared" si="18"/>
        <v>20227388</v>
      </c>
      <c r="B617" t="str">
        <f t="shared" si="19"/>
        <v>T-03</v>
      </c>
      <c r="C617" s="32">
        <v>44883</v>
      </c>
      <c r="D617" s="25">
        <v>10</v>
      </c>
      <c r="E617" t="str" cm="1">
        <f t="array" ref="E617">insertinto(A617:D617,$F$2:$G$5,"pr_Assignments_Results")</f>
        <v>insert into pr_Assignments_Results values ('20227388', 'T-03', '18-Nov-2022', 10);</v>
      </c>
      <c r="H617">
        <v>615</v>
      </c>
    </row>
    <row r="618" spans="1:8" x14ac:dyDescent="0.15">
      <c r="A618">
        <f t="shared" si="18"/>
        <v>20227388</v>
      </c>
      <c r="B618" t="str">
        <f t="shared" si="19"/>
        <v>T-04</v>
      </c>
      <c r="C618" s="32">
        <v>44851</v>
      </c>
      <c r="D618" s="25">
        <v>36</v>
      </c>
      <c r="E618" t="str" cm="1">
        <f t="array" ref="E618">insertinto(A618:D618,$F$2:$G$5,"pr_Assignments_Results")</f>
        <v>insert into pr_Assignments_Results values ('20227388', 'T-04', '17-Oct-2022', 36);</v>
      </c>
      <c r="H618">
        <v>616</v>
      </c>
    </row>
    <row r="619" spans="1:8" x14ac:dyDescent="0.15">
      <c r="A619">
        <f t="shared" si="18"/>
        <v>20227388</v>
      </c>
      <c r="B619" t="str">
        <f t="shared" si="19"/>
        <v>T-05</v>
      </c>
      <c r="C619" s="32">
        <v>44836</v>
      </c>
      <c r="D619" s="25">
        <v>6</v>
      </c>
      <c r="E619" t="str" cm="1">
        <f t="array" ref="E619">insertinto(A619:D619,$F$2:$G$5,"pr_Assignments_Results")</f>
        <v>insert into pr_Assignments_Results values ('20227388', 'T-05', '02-Oct-2022', 6);</v>
      </c>
      <c r="H619">
        <v>617</v>
      </c>
    </row>
    <row r="620" spans="1:8" x14ac:dyDescent="0.15">
      <c r="A620">
        <f t="shared" si="18"/>
        <v>20227388</v>
      </c>
      <c r="B620" t="str">
        <f t="shared" si="19"/>
        <v>T-06</v>
      </c>
      <c r="C620" s="32">
        <v>44886</v>
      </c>
      <c r="D620" s="25">
        <v>6</v>
      </c>
      <c r="E620" t="str" cm="1">
        <f t="array" ref="E620">insertinto(A620:D620,$F$2:$G$5,"pr_Assignments_Results")</f>
        <v>insert into pr_Assignments_Results values ('20227388', 'T-06', '21-Nov-2022', 6);</v>
      </c>
      <c r="H620">
        <v>618</v>
      </c>
    </row>
    <row r="621" spans="1:8" x14ac:dyDescent="0.15">
      <c r="A621">
        <f t="shared" si="18"/>
        <v>20227388</v>
      </c>
      <c r="B621" t="str">
        <f t="shared" si="19"/>
        <v>T-07</v>
      </c>
      <c r="C621" s="32">
        <v>44842</v>
      </c>
      <c r="D621" s="25">
        <v>41</v>
      </c>
      <c r="E621" t="str" cm="1">
        <f t="array" ref="E621">insertinto(A621:D621,$F$2:$G$5,"pr_Assignments_Results")</f>
        <v>insert into pr_Assignments_Results values ('20227388', 'T-07', '08-Oct-2022', 41);</v>
      </c>
      <c r="H621">
        <v>619</v>
      </c>
    </row>
    <row r="622" spans="1:8" x14ac:dyDescent="0.15">
      <c r="A622">
        <f t="shared" si="18"/>
        <v>20227388</v>
      </c>
      <c r="B622" t="str">
        <f t="shared" si="19"/>
        <v>T-08</v>
      </c>
      <c r="C622" s="32">
        <v>44857</v>
      </c>
      <c r="D622" s="25">
        <v>53</v>
      </c>
      <c r="E622" t="str" cm="1">
        <f t="array" ref="E622">insertinto(A622:D622,$F$2:$G$5,"pr_Assignments_Results")</f>
        <v>insert into pr_Assignments_Results values ('20227388', 'T-08', '23-Oct-2022', 53);</v>
      </c>
      <c r="H622">
        <v>620</v>
      </c>
    </row>
    <row r="623" spans="1:8" x14ac:dyDescent="0.15">
      <c r="A623">
        <f t="shared" si="18"/>
        <v>20227388</v>
      </c>
      <c r="B623" t="str">
        <f t="shared" si="19"/>
        <v>T-09</v>
      </c>
      <c r="C623" s="32">
        <v>44879</v>
      </c>
      <c r="D623" s="25">
        <v>47</v>
      </c>
      <c r="E623" t="str" cm="1">
        <f t="array" ref="E623">insertinto(A623:D623,$F$2:$G$5,"pr_Assignments_Results")</f>
        <v>insert into pr_Assignments_Results values ('20227388', 'T-09', '14-Nov-2022', 47);</v>
      </c>
      <c r="H623">
        <v>621</v>
      </c>
    </row>
    <row r="624" spans="1:8" x14ac:dyDescent="0.15">
      <c r="A624">
        <f t="shared" si="18"/>
        <v>20227388</v>
      </c>
      <c r="B624" t="str">
        <f t="shared" si="19"/>
        <v>T-10</v>
      </c>
      <c r="C624" s="32">
        <v>44890</v>
      </c>
      <c r="D624" s="25">
        <v>10</v>
      </c>
      <c r="E624" t="str" cm="1">
        <f t="array" ref="E624">insertinto(A624:D624,$F$2:$G$5,"pr_Assignments_Results")</f>
        <v>insert into pr_Assignments_Results values ('20227388', 'T-10', '25-Nov-2022', 10);</v>
      </c>
      <c r="H624">
        <v>622</v>
      </c>
    </row>
    <row r="625" spans="1:8" x14ac:dyDescent="0.15">
      <c r="A625">
        <f t="shared" si="18"/>
        <v>20227388</v>
      </c>
      <c r="B625" t="str">
        <f t="shared" si="19"/>
        <v>T-11</v>
      </c>
      <c r="C625" s="32">
        <v>44955</v>
      </c>
      <c r="D625" s="25">
        <v>45</v>
      </c>
      <c r="E625" t="str" cm="1">
        <f t="array" ref="E625">insertinto(A625:D625,$F$2:$G$5,"pr_Assignments_Results")</f>
        <v>insert into pr_Assignments_Results values ('20227388', 'T-11', '29-Jan-2023', 45);</v>
      </c>
      <c r="H625">
        <v>623</v>
      </c>
    </row>
    <row r="626" spans="1:8" x14ac:dyDescent="0.15">
      <c r="A626">
        <f t="shared" si="18"/>
        <v>20227388</v>
      </c>
      <c r="B626" t="str">
        <f t="shared" si="19"/>
        <v>T-12</v>
      </c>
      <c r="C626" s="32">
        <v>44974</v>
      </c>
      <c r="D626" s="25">
        <v>22</v>
      </c>
      <c r="E626" t="str" cm="1">
        <f t="array" ref="E626">insertinto(A626:D626,$F$2:$G$5,"pr_Assignments_Results")</f>
        <v>insert into pr_Assignments_Results values ('20227388', 'T-12', '17-Feb-2023', 22);</v>
      </c>
      <c r="H626">
        <v>624</v>
      </c>
    </row>
    <row r="627" spans="1:8" x14ac:dyDescent="0.15">
      <c r="A627">
        <f t="shared" si="18"/>
        <v>20227388</v>
      </c>
      <c r="B627" t="str">
        <f t="shared" si="19"/>
        <v>T-13</v>
      </c>
      <c r="C627" s="32">
        <v>44982</v>
      </c>
      <c r="D627" s="25">
        <v>50</v>
      </c>
      <c r="E627" t="str" cm="1">
        <f t="array" ref="E627">insertinto(A627:D627,$F$2:$G$5,"pr_Assignments_Results")</f>
        <v>insert into pr_Assignments_Results values ('20227388', 'T-13', '25-Feb-2023', 50);</v>
      </c>
      <c r="H627">
        <v>625</v>
      </c>
    </row>
    <row r="628" spans="1:8" x14ac:dyDescent="0.15">
      <c r="A628">
        <f t="shared" si="18"/>
        <v>20227388</v>
      </c>
      <c r="B628" t="str">
        <f t="shared" si="19"/>
        <v>T-14</v>
      </c>
      <c r="C628" s="32">
        <v>44994</v>
      </c>
      <c r="D628" s="25">
        <v>30</v>
      </c>
      <c r="E628" t="str" cm="1">
        <f t="array" ref="E628">insertinto(A628:D628,$F$2:$G$5,"pr_Assignments_Results")</f>
        <v>insert into pr_Assignments_Results values ('20227388', 'T-14', '09-Mar-2023', 30);</v>
      </c>
      <c r="H628">
        <v>626</v>
      </c>
    </row>
    <row r="629" spans="1:8" x14ac:dyDescent="0.15">
      <c r="A629">
        <f t="shared" si="18"/>
        <v>20227388</v>
      </c>
      <c r="B629" t="str">
        <f t="shared" si="19"/>
        <v>T-15</v>
      </c>
      <c r="C629" s="32">
        <v>44957</v>
      </c>
      <c r="D629" s="25">
        <v>45</v>
      </c>
      <c r="E629" t="str" cm="1">
        <f t="array" ref="E629">insertinto(A629:D629,$F$2:$G$5,"pr_Assignments_Results")</f>
        <v>insert into pr_Assignments_Results values ('20227388', 'T-15', '31-Jan-2023', 45);</v>
      </c>
      <c r="H629">
        <v>627</v>
      </c>
    </row>
    <row r="630" spans="1:8" x14ac:dyDescent="0.15">
      <c r="A630">
        <f t="shared" si="18"/>
        <v>20227388</v>
      </c>
      <c r="B630" t="str">
        <f t="shared" si="19"/>
        <v>T-16</v>
      </c>
      <c r="C630" s="32">
        <v>44970</v>
      </c>
      <c r="D630" s="25">
        <v>22</v>
      </c>
      <c r="E630" t="str" cm="1">
        <f t="array" ref="E630">insertinto(A630:D630,$F$2:$G$5,"pr_Assignments_Results")</f>
        <v>insert into pr_Assignments_Results values ('20227388', 'T-16', '13-Feb-2023', 22);</v>
      </c>
      <c r="H630">
        <v>628</v>
      </c>
    </row>
    <row r="631" spans="1:8" x14ac:dyDescent="0.15">
      <c r="A631">
        <f t="shared" si="18"/>
        <v>20227388</v>
      </c>
      <c r="B631" t="str">
        <f t="shared" si="19"/>
        <v>T-17</v>
      </c>
      <c r="C631" s="32">
        <v>44986</v>
      </c>
      <c r="D631" s="25">
        <v>6</v>
      </c>
      <c r="E631" t="str" cm="1">
        <f t="array" ref="E631">insertinto(A631:D631,$F$2:$G$5,"pr_Assignments_Results")</f>
        <v>insert into pr_Assignments_Results values ('20227388', 'T-17', '01-Mar-2023', 6);</v>
      </c>
      <c r="H631">
        <v>629</v>
      </c>
    </row>
    <row r="632" spans="1:8" x14ac:dyDescent="0.15">
      <c r="A632">
        <f t="shared" si="18"/>
        <v>20227388</v>
      </c>
      <c r="B632" t="str">
        <f t="shared" si="19"/>
        <v>T-18</v>
      </c>
      <c r="C632" s="32">
        <v>44965</v>
      </c>
      <c r="D632" s="25">
        <v>23</v>
      </c>
      <c r="E632" t="str" cm="1">
        <f t="array" ref="E632">insertinto(A632:D632,$F$2:$G$5,"pr_Assignments_Results")</f>
        <v>insert into pr_Assignments_Results values ('20227388', 'T-18', '08-Feb-2023', 23);</v>
      </c>
      <c r="H632">
        <v>630</v>
      </c>
    </row>
    <row r="633" spans="1:8" x14ac:dyDescent="0.15">
      <c r="A633">
        <f t="shared" si="18"/>
        <v>20227388</v>
      </c>
      <c r="B633" t="str">
        <f t="shared" si="19"/>
        <v>T-19</v>
      </c>
      <c r="C633" s="32">
        <v>45044</v>
      </c>
      <c r="D633" s="25">
        <v>49</v>
      </c>
      <c r="E633" t="str" cm="1">
        <f t="array" ref="E633">insertinto(A633:D633,$F$2:$G$5,"pr_Assignments_Results")</f>
        <v>insert into pr_Assignments_Results values ('20227388', 'T-19', '28-Apr-2023', 49);</v>
      </c>
      <c r="H633">
        <v>631</v>
      </c>
    </row>
    <row r="634" spans="1:8" x14ac:dyDescent="0.15">
      <c r="A634">
        <f t="shared" si="18"/>
        <v>20227388</v>
      </c>
      <c r="B634" t="str">
        <f t="shared" si="19"/>
        <v>T-20</v>
      </c>
      <c r="C634" s="32">
        <v>45051</v>
      </c>
      <c r="D634" s="25">
        <v>18</v>
      </c>
      <c r="E634" t="str" cm="1">
        <f t="array" ref="E634">insertinto(A634:D634,$F$2:$G$5,"pr_Assignments_Results")</f>
        <v>insert into pr_Assignments_Results values ('20227388', 'T-20', '05-May-2023', 18);</v>
      </c>
      <c r="H634">
        <v>632</v>
      </c>
    </row>
    <row r="635" spans="1:8" x14ac:dyDescent="0.15">
      <c r="A635">
        <f t="shared" si="18"/>
        <v>20227388</v>
      </c>
      <c r="B635" t="str">
        <f t="shared" si="19"/>
        <v>T-21</v>
      </c>
      <c r="C635" s="32">
        <v>45058</v>
      </c>
      <c r="D635" s="25">
        <v>21</v>
      </c>
      <c r="E635" t="str" cm="1">
        <f t="array" ref="E635">insertinto(A635:D635,$F$2:$G$5,"pr_Assignments_Results")</f>
        <v>insert into pr_Assignments_Results values ('20227388', 'T-21', '12-May-2023', 21);</v>
      </c>
      <c r="H635">
        <v>633</v>
      </c>
    </row>
    <row r="636" spans="1:8" x14ac:dyDescent="0.15">
      <c r="A636">
        <f t="shared" si="18"/>
        <v>20227388</v>
      </c>
      <c r="B636" t="str">
        <f t="shared" si="19"/>
        <v>T-22</v>
      </c>
      <c r="C636" s="32">
        <v>45071</v>
      </c>
      <c r="D636" s="25">
        <v>39</v>
      </c>
      <c r="E636" t="str" cm="1">
        <f t="array" ref="E636">insertinto(A636:D636,$F$2:$G$5,"pr_Assignments_Results")</f>
        <v>insert into pr_Assignments_Results values ('20227388', 'T-22', '25-May-2023', 39);</v>
      </c>
      <c r="H636">
        <v>634</v>
      </c>
    </row>
    <row r="637" spans="1:8" x14ac:dyDescent="0.15">
      <c r="A637">
        <f t="shared" si="18"/>
        <v>20227388</v>
      </c>
      <c r="B637" t="str">
        <f t="shared" si="19"/>
        <v>T-23</v>
      </c>
      <c r="C637" s="32">
        <v>45203</v>
      </c>
      <c r="D637" s="25">
        <v>30</v>
      </c>
      <c r="E637" t="str" cm="1">
        <f t="array" ref="E637">insertinto(A637:D637,$F$2:$G$5,"pr_Assignments_Results")</f>
        <v>insert into pr_Assignments_Results values ('20227388', 'T-23', '04-Oct-2023', 30);</v>
      </c>
      <c r="H637">
        <v>635</v>
      </c>
    </row>
    <row r="638" spans="1:8" x14ac:dyDescent="0.15">
      <c r="A638">
        <f t="shared" si="18"/>
        <v>20227388</v>
      </c>
      <c r="B638" t="str">
        <f t="shared" si="19"/>
        <v>T-24</v>
      </c>
      <c r="C638" s="32">
        <v>45228</v>
      </c>
      <c r="D638" s="25">
        <v>55</v>
      </c>
      <c r="E638" t="str" cm="1">
        <f t="array" ref="E638">insertinto(A638:D638,$F$2:$G$5,"pr_Assignments_Results")</f>
        <v>insert into pr_Assignments_Results values ('20227388', 'T-24', '29-Oct-2023', 55);</v>
      </c>
      <c r="H638">
        <v>636</v>
      </c>
    </row>
    <row r="639" spans="1:8" x14ac:dyDescent="0.15">
      <c r="A639">
        <f t="shared" si="18"/>
        <v>20227388</v>
      </c>
      <c r="B639" t="str">
        <f t="shared" si="19"/>
        <v>T-25</v>
      </c>
      <c r="C639" s="32">
        <v>44892</v>
      </c>
      <c r="D639" s="25">
        <v>48</v>
      </c>
      <c r="E639" t="str" cm="1">
        <f t="array" ref="E639">insertinto(A639:D639,$F$2:$G$5,"pr_Assignments_Results")</f>
        <v>insert into pr_Assignments_Results values ('20227388', 'T-25', '27-Nov-2022', 48);</v>
      </c>
      <c r="H639">
        <v>637</v>
      </c>
    </row>
    <row r="640" spans="1:8" x14ac:dyDescent="0.15">
      <c r="A640">
        <f t="shared" si="18"/>
        <v>20227388</v>
      </c>
      <c r="B640" t="str">
        <f t="shared" si="19"/>
        <v>T-26</v>
      </c>
      <c r="C640" s="32">
        <v>45215</v>
      </c>
      <c r="D640" s="25">
        <v>2</v>
      </c>
      <c r="E640" t="str" cm="1">
        <f t="array" ref="E640">insertinto(A640:D640,$F$2:$G$5,"pr_Assignments_Results")</f>
        <v>insert into pr_Assignments_Results values ('20227388', 'T-26', '16-Oct-2023', 2);</v>
      </c>
      <c r="H640">
        <v>638</v>
      </c>
    </row>
    <row r="641" spans="1:8" x14ac:dyDescent="0.15">
      <c r="A641">
        <f t="shared" si="18"/>
        <v>20227388</v>
      </c>
      <c r="B641" t="str">
        <f t="shared" si="19"/>
        <v>T-27</v>
      </c>
      <c r="C641" s="32">
        <v>45230</v>
      </c>
      <c r="D641" s="25">
        <v>48</v>
      </c>
      <c r="E641" t="str" cm="1">
        <f t="array" ref="E641">insertinto(A641:D641,$F$2:$G$5,"pr_Assignments_Results")</f>
        <v>insert into pr_Assignments_Results values ('20227388', 'T-27', '31-Oct-2023', 48);</v>
      </c>
      <c r="H641">
        <v>639</v>
      </c>
    </row>
    <row r="642" spans="1:8" x14ac:dyDescent="0.15">
      <c r="A642">
        <f t="shared" ref="A642:A681" si="20">INDEX($I$2:$I$51,INT(H642/34)+1)</f>
        <v>20227388</v>
      </c>
      <c r="B642" t="str">
        <f t="shared" ref="B642:B681" si="21">INDEX($J$2:$J$35,MOD(H642,34)+1)</f>
        <v>T-28</v>
      </c>
      <c r="C642" s="32">
        <v>45266</v>
      </c>
      <c r="D642" s="25">
        <v>25</v>
      </c>
      <c r="E642" t="str" cm="1">
        <f t="array" ref="E642">insertinto(A642:D642,$F$2:$G$5,"pr_Assignments_Results")</f>
        <v>insert into pr_Assignments_Results values ('20227388', 'T-28', '06-Dec-2023', 25);</v>
      </c>
      <c r="H642">
        <v>640</v>
      </c>
    </row>
    <row r="643" spans="1:8" x14ac:dyDescent="0.15">
      <c r="A643">
        <f t="shared" si="20"/>
        <v>20227388</v>
      </c>
      <c r="B643" t="str">
        <f t="shared" si="21"/>
        <v>T-29</v>
      </c>
      <c r="C643" s="32">
        <v>44951</v>
      </c>
      <c r="D643" s="25">
        <v>1</v>
      </c>
      <c r="E643" t="str" cm="1">
        <f t="array" ref="E643">insertinto(A643:D643,$F$2:$G$5,"pr_Assignments_Results")</f>
        <v>insert into pr_Assignments_Results values ('20227388', 'T-29', '25-Jan-2023', 1);</v>
      </c>
      <c r="H643">
        <v>641</v>
      </c>
    </row>
    <row r="644" spans="1:8" x14ac:dyDescent="0.15">
      <c r="A644">
        <f t="shared" si="20"/>
        <v>20227388</v>
      </c>
      <c r="B644" t="str">
        <f t="shared" si="21"/>
        <v>T-30</v>
      </c>
      <c r="C644" s="32">
        <v>45210</v>
      </c>
      <c r="D644" s="25">
        <v>55</v>
      </c>
      <c r="E644" t="str" cm="1">
        <f t="array" ref="E644">insertinto(A644:D644,$F$2:$G$5,"pr_Assignments_Results")</f>
        <v>insert into pr_Assignments_Results values ('20227388', 'T-30', '11-Oct-2023', 55);</v>
      </c>
      <c r="H644">
        <v>642</v>
      </c>
    </row>
    <row r="645" spans="1:8" x14ac:dyDescent="0.15">
      <c r="A645">
        <f t="shared" si="20"/>
        <v>20227388</v>
      </c>
      <c r="B645" t="str">
        <f t="shared" si="21"/>
        <v>T-31</v>
      </c>
      <c r="C645" s="32">
        <v>45231</v>
      </c>
      <c r="D645" s="25">
        <v>52</v>
      </c>
      <c r="E645" t="str" cm="1">
        <f t="array" ref="E645">insertinto(A645:D645,$F$2:$G$5,"pr_Assignments_Results")</f>
        <v>insert into pr_Assignments_Results values ('20227388', 'T-31', '01-Nov-2023', 52);</v>
      </c>
      <c r="H645">
        <v>643</v>
      </c>
    </row>
    <row r="646" spans="1:8" x14ac:dyDescent="0.15">
      <c r="A646">
        <f t="shared" si="20"/>
        <v>20227388</v>
      </c>
      <c r="B646" t="str">
        <f t="shared" si="21"/>
        <v>T-32</v>
      </c>
      <c r="C646" s="32">
        <v>45242</v>
      </c>
      <c r="D646" s="25">
        <v>39</v>
      </c>
      <c r="E646" t="str" cm="1">
        <f t="array" ref="E646">insertinto(A646:D646,$F$2:$G$5,"pr_Assignments_Results")</f>
        <v>insert into pr_Assignments_Results values ('20227388', 'T-32', '12-Nov-2023', 39);</v>
      </c>
      <c r="H646">
        <v>644</v>
      </c>
    </row>
    <row r="647" spans="1:8" x14ac:dyDescent="0.15">
      <c r="A647">
        <f t="shared" si="20"/>
        <v>20227388</v>
      </c>
      <c r="B647" t="str">
        <f t="shared" si="21"/>
        <v>T-33</v>
      </c>
      <c r="C647" s="32">
        <v>45258</v>
      </c>
      <c r="D647" s="25">
        <v>45</v>
      </c>
      <c r="E647" t="str" cm="1">
        <f t="array" ref="E647">insertinto(A647:D647,$F$2:$G$5,"pr_Assignments_Results")</f>
        <v>insert into pr_Assignments_Results values ('20227388', 'T-33', '28-Nov-2023', 45);</v>
      </c>
      <c r="H647">
        <v>645</v>
      </c>
    </row>
    <row r="648" spans="1:8" x14ac:dyDescent="0.15">
      <c r="A648">
        <f t="shared" si="20"/>
        <v>20223671</v>
      </c>
      <c r="B648" t="str">
        <f t="shared" si="21"/>
        <v>T-00</v>
      </c>
      <c r="C648" s="32">
        <v>44846</v>
      </c>
      <c r="D648" s="25">
        <v>9</v>
      </c>
      <c r="E648" t="str" cm="1">
        <f t="array" ref="E648">insertinto(A648:D648,$F$2:$G$5,"pr_Assignments_Results")</f>
        <v>insert into pr_Assignments_Results values ('20223671', 'T-00', '12-Oct-2022', 9);</v>
      </c>
      <c r="H648">
        <v>646</v>
      </c>
    </row>
    <row r="649" spans="1:8" x14ac:dyDescent="0.15">
      <c r="A649">
        <f t="shared" si="20"/>
        <v>20223671</v>
      </c>
      <c r="B649" t="str">
        <f t="shared" si="21"/>
        <v>T-01</v>
      </c>
      <c r="C649" s="32">
        <v>44848</v>
      </c>
      <c r="D649" s="25">
        <v>10</v>
      </c>
      <c r="E649" t="str" cm="1">
        <f t="array" ref="E649">insertinto(A649:D649,$F$2:$G$5,"pr_Assignments_Results")</f>
        <v>insert into pr_Assignments_Results values ('20223671', 'T-01', '14-Oct-2022', 10);</v>
      </c>
      <c r="H649">
        <v>647</v>
      </c>
    </row>
    <row r="650" spans="1:8" x14ac:dyDescent="0.15">
      <c r="A650">
        <f t="shared" si="20"/>
        <v>20223671</v>
      </c>
      <c r="B650" t="str">
        <f t="shared" si="21"/>
        <v>T-02</v>
      </c>
      <c r="C650" s="32">
        <v>44872</v>
      </c>
      <c r="D650" s="25">
        <v>39</v>
      </c>
      <c r="E650" t="str" cm="1">
        <f t="array" ref="E650">insertinto(A650:D650,$F$2:$G$5,"pr_Assignments_Results")</f>
        <v>insert into pr_Assignments_Results values ('20223671', 'T-02', '07-Nov-2022', 39);</v>
      </c>
      <c r="H650">
        <v>648</v>
      </c>
    </row>
    <row r="651" spans="1:8" x14ac:dyDescent="0.15">
      <c r="A651">
        <f t="shared" si="20"/>
        <v>20223671</v>
      </c>
      <c r="B651" t="str">
        <f t="shared" si="21"/>
        <v>T-03</v>
      </c>
      <c r="C651" s="32">
        <v>44879</v>
      </c>
      <c r="D651" s="25">
        <v>34</v>
      </c>
      <c r="E651" t="str" cm="1">
        <f t="array" ref="E651">insertinto(A651:D651,$F$2:$G$5,"pr_Assignments_Results")</f>
        <v>insert into pr_Assignments_Results values ('20223671', 'T-03', '14-Nov-2022', 34);</v>
      </c>
      <c r="H651">
        <v>649</v>
      </c>
    </row>
    <row r="652" spans="1:8" x14ac:dyDescent="0.15">
      <c r="A652">
        <f t="shared" si="20"/>
        <v>20223671</v>
      </c>
      <c r="B652" t="str">
        <f t="shared" si="21"/>
        <v>T-04</v>
      </c>
      <c r="C652" s="32">
        <v>44849</v>
      </c>
      <c r="D652" s="25">
        <v>23</v>
      </c>
      <c r="E652" t="str" cm="1">
        <f t="array" ref="E652">insertinto(A652:D652,$F$2:$G$5,"pr_Assignments_Results")</f>
        <v>insert into pr_Assignments_Results values ('20223671', 'T-04', '15-Oct-2022', 23);</v>
      </c>
      <c r="H652">
        <v>650</v>
      </c>
    </row>
    <row r="653" spans="1:8" x14ac:dyDescent="0.15">
      <c r="A653">
        <f t="shared" si="20"/>
        <v>20223671</v>
      </c>
      <c r="B653" t="str">
        <f t="shared" si="21"/>
        <v>T-05</v>
      </c>
      <c r="C653" s="32">
        <v>44840</v>
      </c>
      <c r="D653" s="25">
        <v>53</v>
      </c>
      <c r="E653" t="str" cm="1">
        <f t="array" ref="E653">insertinto(A653:D653,$F$2:$G$5,"pr_Assignments_Results")</f>
        <v>insert into pr_Assignments_Results values ('20223671', 'T-05', '06-Oct-2022', 53);</v>
      </c>
      <c r="H653">
        <v>651</v>
      </c>
    </row>
    <row r="654" spans="1:8" x14ac:dyDescent="0.15">
      <c r="A654">
        <f t="shared" si="20"/>
        <v>20223671</v>
      </c>
      <c r="B654" t="str">
        <f t="shared" si="21"/>
        <v>T-06</v>
      </c>
      <c r="C654" s="32">
        <v>44892</v>
      </c>
      <c r="D654" s="25">
        <v>25</v>
      </c>
      <c r="E654" t="str" cm="1">
        <f t="array" ref="E654">insertinto(A654:D654,$F$2:$G$5,"pr_Assignments_Results")</f>
        <v>insert into pr_Assignments_Results values ('20223671', 'T-06', '27-Nov-2022', 25);</v>
      </c>
      <c r="H654">
        <v>652</v>
      </c>
    </row>
    <row r="655" spans="1:8" x14ac:dyDescent="0.15">
      <c r="A655">
        <f t="shared" si="20"/>
        <v>20223671</v>
      </c>
      <c r="B655" t="str">
        <f t="shared" si="21"/>
        <v>T-07</v>
      </c>
      <c r="C655" s="32">
        <v>44843</v>
      </c>
      <c r="D655" s="25">
        <v>3</v>
      </c>
      <c r="E655" t="str" cm="1">
        <f t="array" ref="E655">insertinto(A655:D655,$F$2:$G$5,"pr_Assignments_Results")</f>
        <v>insert into pr_Assignments_Results values ('20223671', 'T-07', '09-Oct-2022', 3);</v>
      </c>
      <c r="H655">
        <v>653</v>
      </c>
    </row>
    <row r="656" spans="1:8" x14ac:dyDescent="0.15">
      <c r="A656">
        <f t="shared" si="20"/>
        <v>20223671</v>
      </c>
      <c r="B656" t="str">
        <f t="shared" si="21"/>
        <v>T-08</v>
      </c>
      <c r="C656" s="32">
        <v>44853</v>
      </c>
      <c r="D656" s="25">
        <v>38</v>
      </c>
      <c r="E656" t="str" cm="1">
        <f t="array" ref="E656">insertinto(A656:D656,$F$2:$G$5,"pr_Assignments_Results")</f>
        <v>insert into pr_Assignments_Results values ('20223671', 'T-08', '19-Oct-2022', 38);</v>
      </c>
      <c r="H656">
        <v>654</v>
      </c>
    </row>
    <row r="657" spans="1:8" x14ac:dyDescent="0.15">
      <c r="A657">
        <f t="shared" si="20"/>
        <v>20223671</v>
      </c>
      <c r="B657" t="str">
        <f t="shared" si="21"/>
        <v>T-09</v>
      </c>
      <c r="C657" s="32">
        <v>44879</v>
      </c>
      <c r="D657" s="25">
        <v>5</v>
      </c>
      <c r="E657" t="str" cm="1">
        <f t="array" ref="E657">insertinto(A657:D657,$F$2:$G$5,"pr_Assignments_Results")</f>
        <v>insert into pr_Assignments_Results values ('20223671', 'T-09', '14-Nov-2022', 5);</v>
      </c>
      <c r="H657">
        <v>655</v>
      </c>
    </row>
    <row r="658" spans="1:8" x14ac:dyDescent="0.15">
      <c r="A658">
        <f t="shared" si="20"/>
        <v>20223671</v>
      </c>
      <c r="B658" t="str">
        <f t="shared" si="21"/>
        <v>T-10</v>
      </c>
      <c r="C658" s="32">
        <v>44893</v>
      </c>
      <c r="D658" s="25">
        <v>32</v>
      </c>
      <c r="E658" t="str" cm="1">
        <f t="array" ref="E658">insertinto(A658:D658,$F$2:$G$5,"pr_Assignments_Results")</f>
        <v>insert into pr_Assignments_Results values ('20223671', 'T-10', '28-Nov-2022', 32);</v>
      </c>
      <c r="H658">
        <v>656</v>
      </c>
    </row>
    <row r="659" spans="1:8" x14ac:dyDescent="0.15">
      <c r="A659">
        <f t="shared" si="20"/>
        <v>20223671</v>
      </c>
      <c r="B659" t="str">
        <f t="shared" si="21"/>
        <v>T-11</v>
      </c>
      <c r="C659" s="32">
        <v>44955</v>
      </c>
      <c r="D659" s="25">
        <v>3</v>
      </c>
      <c r="E659" t="str" cm="1">
        <f t="array" ref="E659">insertinto(A659:D659,$F$2:$G$5,"pr_Assignments_Results")</f>
        <v>insert into pr_Assignments_Results values ('20223671', 'T-11', '29-Jan-2023', 3);</v>
      </c>
      <c r="H659">
        <v>657</v>
      </c>
    </row>
    <row r="660" spans="1:8" x14ac:dyDescent="0.15">
      <c r="A660">
        <f t="shared" si="20"/>
        <v>20223671</v>
      </c>
      <c r="B660" t="str">
        <f t="shared" si="21"/>
        <v>T-12</v>
      </c>
      <c r="C660" s="32">
        <v>44975</v>
      </c>
      <c r="D660" s="25">
        <v>39</v>
      </c>
      <c r="E660" t="str" cm="1">
        <f t="array" ref="E660">insertinto(A660:D660,$F$2:$G$5,"pr_Assignments_Results")</f>
        <v>insert into pr_Assignments_Results values ('20223671', 'T-12', '18-Feb-2023', 39);</v>
      </c>
      <c r="H660">
        <v>658</v>
      </c>
    </row>
    <row r="661" spans="1:8" x14ac:dyDescent="0.15">
      <c r="A661">
        <f t="shared" si="20"/>
        <v>20223671</v>
      </c>
      <c r="B661" t="str">
        <f t="shared" si="21"/>
        <v>T-13</v>
      </c>
      <c r="C661" s="32">
        <v>44987</v>
      </c>
      <c r="D661" s="25">
        <v>39</v>
      </c>
      <c r="E661" t="str" cm="1">
        <f t="array" ref="E661">insertinto(A661:D661,$F$2:$G$5,"pr_Assignments_Results")</f>
        <v>insert into pr_Assignments_Results values ('20223671', 'T-13', '02-Mar-2023', 39);</v>
      </c>
      <c r="H661">
        <v>659</v>
      </c>
    </row>
    <row r="662" spans="1:8" x14ac:dyDescent="0.15">
      <c r="A662">
        <f t="shared" si="20"/>
        <v>20223671</v>
      </c>
      <c r="B662" t="str">
        <f t="shared" si="21"/>
        <v>T-14</v>
      </c>
      <c r="C662" s="32">
        <v>44996</v>
      </c>
      <c r="D662" s="25">
        <v>51</v>
      </c>
      <c r="E662" t="str" cm="1">
        <f t="array" ref="E662">insertinto(A662:D662,$F$2:$G$5,"pr_Assignments_Results")</f>
        <v>insert into pr_Assignments_Results values ('20223671', 'T-14', '11-Mar-2023', 51);</v>
      </c>
      <c r="H662">
        <v>660</v>
      </c>
    </row>
    <row r="663" spans="1:8" x14ac:dyDescent="0.15">
      <c r="A663">
        <f t="shared" si="20"/>
        <v>20223671</v>
      </c>
      <c r="B663" t="str">
        <f t="shared" si="21"/>
        <v>T-15</v>
      </c>
      <c r="C663" s="32">
        <v>44958</v>
      </c>
      <c r="D663" s="25">
        <v>37</v>
      </c>
      <c r="E663" t="str" cm="1">
        <f t="array" ref="E663">insertinto(A663:D663,$F$2:$G$5,"pr_Assignments_Results")</f>
        <v>insert into pr_Assignments_Results values ('20223671', 'T-15', '01-Feb-2023', 37);</v>
      </c>
      <c r="H663">
        <v>661</v>
      </c>
    </row>
    <row r="664" spans="1:8" x14ac:dyDescent="0.15">
      <c r="A664">
        <f t="shared" si="20"/>
        <v>20223671</v>
      </c>
      <c r="B664" t="str">
        <f t="shared" si="21"/>
        <v>T-16</v>
      </c>
      <c r="C664" s="32">
        <v>44970</v>
      </c>
      <c r="D664" s="25">
        <v>55</v>
      </c>
      <c r="E664" t="str" cm="1">
        <f t="array" ref="E664">insertinto(A664:D664,$F$2:$G$5,"pr_Assignments_Results")</f>
        <v>insert into pr_Assignments_Results values ('20223671', 'T-16', '13-Feb-2023', 55);</v>
      </c>
      <c r="H664">
        <v>662</v>
      </c>
    </row>
    <row r="665" spans="1:8" x14ac:dyDescent="0.15">
      <c r="A665">
        <f t="shared" si="20"/>
        <v>20223671</v>
      </c>
      <c r="B665" t="str">
        <f t="shared" si="21"/>
        <v>T-17</v>
      </c>
      <c r="C665" s="32">
        <v>44982</v>
      </c>
      <c r="D665" s="25">
        <v>46</v>
      </c>
      <c r="E665" t="str" cm="1">
        <f t="array" ref="E665">insertinto(A665:D665,$F$2:$G$5,"pr_Assignments_Results")</f>
        <v>insert into pr_Assignments_Results values ('20223671', 'T-17', '25-Feb-2023', 46);</v>
      </c>
      <c r="H665">
        <v>663</v>
      </c>
    </row>
    <row r="666" spans="1:8" x14ac:dyDescent="0.15">
      <c r="A666">
        <f t="shared" si="20"/>
        <v>20223671</v>
      </c>
      <c r="B666" t="str">
        <f t="shared" si="21"/>
        <v>T-18</v>
      </c>
      <c r="C666" s="32">
        <v>44965</v>
      </c>
      <c r="D666" s="25">
        <v>14</v>
      </c>
      <c r="E666" t="str" cm="1">
        <f t="array" ref="E666">insertinto(A666:D666,$F$2:$G$5,"pr_Assignments_Results")</f>
        <v>insert into pr_Assignments_Results values ('20223671', 'T-18', '08-Feb-2023', 14);</v>
      </c>
      <c r="H666">
        <v>664</v>
      </c>
    </row>
    <row r="667" spans="1:8" x14ac:dyDescent="0.15">
      <c r="A667">
        <f t="shared" si="20"/>
        <v>20223671</v>
      </c>
      <c r="B667" t="str">
        <f t="shared" si="21"/>
        <v>T-19</v>
      </c>
      <c r="C667" s="32">
        <v>45047</v>
      </c>
      <c r="D667" s="25">
        <v>38</v>
      </c>
      <c r="E667" t="str" cm="1">
        <f t="array" ref="E667">insertinto(A667:D667,$F$2:$G$5,"pr_Assignments_Results")</f>
        <v>insert into pr_Assignments_Results values ('20223671', 'T-19', '01-May-2023', 38);</v>
      </c>
      <c r="H667">
        <v>665</v>
      </c>
    </row>
    <row r="668" spans="1:8" x14ac:dyDescent="0.15">
      <c r="A668">
        <f t="shared" si="20"/>
        <v>20223671</v>
      </c>
      <c r="B668" t="str">
        <f t="shared" si="21"/>
        <v>T-20</v>
      </c>
      <c r="C668" s="32">
        <v>45050</v>
      </c>
      <c r="D668" s="25">
        <v>22</v>
      </c>
      <c r="E668" t="str" cm="1">
        <f t="array" ref="E668">insertinto(A668:D668,$F$2:$G$5,"pr_Assignments_Results")</f>
        <v>insert into pr_Assignments_Results values ('20223671', 'T-20', '04-May-2023', 22);</v>
      </c>
      <c r="H668">
        <v>666</v>
      </c>
    </row>
    <row r="669" spans="1:8" x14ac:dyDescent="0.15">
      <c r="A669">
        <f t="shared" si="20"/>
        <v>20223671</v>
      </c>
      <c r="B669" t="str">
        <f t="shared" si="21"/>
        <v>T-21</v>
      </c>
      <c r="C669" s="32">
        <v>45063</v>
      </c>
      <c r="D669" s="25">
        <v>31</v>
      </c>
      <c r="E669" t="str" cm="1">
        <f t="array" ref="E669">insertinto(A669:D669,$F$2:$G$5,"pr_Assignments_Results")</f>
        <v>insert into pr_Assignments_Results values ('20223671', 'T-21', '17-May-2023', 31);</v>
      </c>
      <c r="H669">
        <v>667</v>
      </c>
    </row>
    <row r="670" spans="1:8" x14ac:dyDescent="0.15">
      <c r="A670">
        <f t="shared" si="20"/>
        <v>20223671</v>
      </c>
      <c r="B670" t="str">
        <f t="shared" si="21"/>
        <v>T-22</v>
      </c>
      <c r="C670" s="32">
        <v>45077</v>
      </c>
      <c r="D670" s="25">
        <v>51</v>
      </c>
      <c r="E670" t="str" cm="1">
        <f t="array" ref="E670">insertinto(A670:D670,$F$2:$G$5,"pr_Assignments_Results")</f>
        <v>insert into pr_Assignments_Results values ('20223671', 'T-22', '31-May-2023', 51);</v>
      </c>
      <c r="H670">
        <v>668</v>
      </c>
    </row>
    <row r="671" spans="1:8" x14ac:dyDescent="0.15">
      <c r="A671">
        <f t="shared" si="20"/>
        <v>20223671</v>
      </c>
      <c r="B671" t="str">
        <f t="shared" si="21"/>
        <v>T-23</v>
      </c>
      <c r="C671" s="32">
        <v>45206</v>
      </c>
      <c r="D671" s="25">
        <v>14</v>
      </c>
      <c r="E671" t="str" cm="1">
        <f t="array" ref="E671">insertinto(A671:D671,$F$2:$G$5,"pr_Assignments_Results")</f>
        <v>insert into pr_Assignments_Results values ('20223671', 'T-23', '07-Oct-2023', 14);</v>
      </c>
      <c r="H671">
        <v>669</v>
      </c>
    </row>
    <row r="672" spans="1:8" x14ac:dyDescent="0.15">
      <c r="A672">
        <f t="shared" si="20"/>
        <v>20223671</v>
      </c>
      <c r="B672" t="str">
        <f t="shared" si="21"/>
        <v>T-24</v>
      </c>
      <c r="C672" s="32">
        <v>45225</v>
      </c>
      <c r="D672" s="25">
        <v>32</v>
      </c>
      <c r="E672" t="str" cm="1">
        <f t="array" ref="E672">insertinto(A672:D672,$F$2:$G$5,"pr_Assignments_Results")</f>
        <v>insert into pr_Assignments_Results values ('20223671', 'T-24', '26-Oct-2023', 32);</v>
      </c>
      <c r="H672">
        <v>670</v>
      </c>
    </row>
    <row r="673" spans="1:8" x14ac:dyDescent="0.15">
      <c r="A673">
        <f t="shared" si="20"/>
        <v>20223671</v>
      </c>
      <c r="B673" t="str">
        <f t="shared" si="21"/>
        <v>T-25</v>
      </c>
      <c r="C673" s="32">
        <v>44888</v>
      </c>
      <c r="D673" s="25">
        <v>47</v>
      </c>
      <c r="E673" t="str" cm="1">
        <f t="array" ref="E673">insertinto(A673:D673,$F$2:$G$5,"pr_Assignments_Results")</f>
        <v>insert into pr_Assignments_Results values ('20223671', 'T-25', '23-Nov-2022', 47);</v>
      </c>
      <c r="H673">
        <v>671</v>
      </c>
    </row>
    <row r="674" spans="1:8" x14ac:dyDescent="0.15">
      <c r="A674">
        <f t="shared" si="20"/>
        <v>20223671</v>
      </c>
      <c r="B674" t="str">
        <f t="shared" si="21"/>
        <v>T-26</v>
      </c>
      <c r="C674" s="32">
        <v>45212</v>
      </c>
      <c r="D674" s="25">
        <v>19</v>
      </c>
      <c r="E674" t="str" cm="1">
        <f t="array" ref="E674">insertinto(A674:D674,$F$2:$G$5,"pr_Assignments_Results")</f>
        <v>insert into pr_Assignments_Results values ('20223671', 'T-26', '13-Oct-2023', 19);</v>
      </c>
      <c r="H674">
        <v>672</v>
      </c>
    </row>
    <row r="675" spans="1:8" x14ac:dyDescent="0.15">
      <c r="A675">
        <f t="shared" si="20"/>
        <v>20223671</v>
      </c>
      <c r="B675" t="str">
        <f t="shared" si="21"/>
        <v>T-27</v>
      </c>
      <c r="C675" s="32">
        <v>45234</v>
      </c>
      <c r="D675" s="25">
        <v>53</v>
      </c>
      <c r="E675" t="str" cm="1">
        <f t="array" ref="E675">insertinto(A675:D675,$F$2:$G$5,"pr_Assignments_Results")</f>
        <v>insert into pr_Assignments_Results values ('20223671', 'T-27', '04-Nov-2023', 53);</v>
      </c>
      <c r="H675">
        <v>673</v>
      </c>
    </row>
    <row r="676" spans="1:8" x14ac:dyDescent="0.15">
      <c r="A676">
        <f t="shared" si="20"/>
        <v>20223671</v>
      </c>
      <c r="B676" t="str">
        <f t="shared" si="21"/>
        <v>T-28</v>
      </c>
      <c r="C676" s="32">
        <v>45265</v>
      </c>
      <c r="D676" s="25">
        <v>38</v>
      </c>
      <c r="E676" t="str" cm="1">
        <f t="array" ref="E676">insertinto(A676:D676,$F$2:$G$5,"pr_Assignments_Results")</f>
        <v>insert into pr_Assignments_Results values ('20223671', 'T-28', '05-Dec-2023', 38);</v>
      </c>
      <c r="H676">
        <v>674</v>
      </c>
    </row>
    <row r="677" spans="1:8" x14ac:dyDescent="0.15">
      <c r="A677">
        <f t="shared" si="20"/>
        <v>20223671</v>
      </c>
      <c r="B677" t="str">
        <f t="shared" si="21"/>
        <v>T-29</v>
      </c>
      <c r="C677" s="32">
        <v>44951</v>
      </c>
      <c r="D677" s="25">
        <v>52</v>
      </c>
      <c r="E677" t="str" cm="1">
        <f t="array" ref="E677">insertinto(A677:D677,$F$2:$G$5,"pr_Assignments_Results")</f>
        <v>insert into pr_Assignments_Results values ('20223671', 'T-29', '25-Jan-2023', 52);</v>
      </c>
      <c r="H677">
        <v>675</v>
      </c>
    </row>
    <row r="678" spans="1:8" x14ac:dyDescent="0.15">
      <c r="A678">
        <f t="shared" si="20"/>
        <v>20223671</v>
      </c>
      <c r="B678" t="str">
        <f t="shared" si="21"/>
        <v>T-30</v>
      </c>
      <c r="C678" s="32">
        <v>45214</v>
      </c>
      <c r="D678" s="25">
        <v>51</v>
      </c>
      <c r="E678" t="str" cm="1">
        <f t="array" ref="E678">insertinto(A678:D678,$F$2:$G$5,"pr_Assignments_Results")</f>
        <v>insert into pr_Assignments_Results values ('20223671', 'T-30', '15-Oct-2023', 51);</v>
      </c>
      <c r="H678">
        <v>676</v>
      </c>
    </row>
    <row r="679" spans="1:8" x14ac:dyDescent="0.15">
      <c r="A679">
        <f t="shared" si="20"/>
        <v>20223671</v>
      </c>
      <c r="B679" t="str">
        <f t="shared" si="21"/>
        <v>T-31</v>
      </c>
      <c r="C679" s="32">
        <v>45232</v>
      </c>
      <c r="D679" s="25">
        <v>13</v>
      </c>
      <c r="E679" t="str" cm="1">
        <f t="array" ref="E679">insertinto(A679:D679,$F$2:$G$5,"pr_Assignments_Results")</f>
        <v>insert into pr_Assignments_Results values ('20223671', 'T-31', '02-Nov-2023', 13);</v>
      </c>
      <c r="H679">
        <v>677</v>
      </c>
    </row>
    <row r="680" spans="1:8" x14ac:dyDescent="0.15">
      <c r="A680">
        <f t="shared" si="20"/>
        <v>20223671</v>
      </c>
      <c r="B680" t="str">
        <f t="shared" si="21"/>
        <v>T-32</v>
      </c>
      <c r="C680" s="32">
        <v>45248</v>
      </c>
      <c r="D680" s="25">
        <v>28</v>
      </c>
      <c r="E680" t="str" cm="1">
        <f t="array" ref="E680">insertinto(A680:D680,$F$2:$G$5,"pr_Assignments_Results")</f>
        <v>insert into pr_Assignments_Results values ('20223671', 'T-32', '18-Nov-2023', 28);</v>
      </c>
      <c r="H680">
        <v>678</v>
      </c>
    </row>
    <row r="681" spans="1:8" x14ac:dyDescent="0.15">
      <c r="A681">
        <f t="shared" si="20"/>
        <v>20223671</v>
      </c>
      <c r="B681" t="str">
        <f t="shared" si="21"/>
        <v>T-33</v>
      </c>
      <c r="C681" s="32">
        <v>45262</v>
      </c>
      <c r="D681" s="25">
        <v>37</v>
      </c>
      <c r="E681" t="str" cm="1">
        <f t="array" ref="E681">insertinto(A681:D681,$F$2:$G$5,"pr_Assignments_Results")</f>
        <v>insert into pr_Assignments_Results values ('20223671', 'T-33', '02-Dec-2023', 37);</v>
      </c>
      <c r="H681">
        <v>679</v>
      </c>
    </row>
    <row r="682" spans="1:8" x14ac:dyDescent="0.15">
      <c r="E682" s="25"/>
    </row>
    <row r="683" spans="1:8" x14ac:dyDescent="0.15">
      <c r="E683" s="25"/>
    </row>
    <row r="684" spans="1:8" x14ac:dyDescent="0.15">
      <c r="E684" s="25"/>
    </row>
    <row r="685" spans="1:8" x14ac:dyDescent="0.15">
      <c r="E685" s="25"/>
    </row>
    <row r="686" spans="1:8" x14ac:dyDescent="0.15">
      <c r="E686" s="25"/>
    </row>
    <row r="687" spans="1:8" x14ac:dyDescent="0.15">
      <c r="E687" s="25"/>
    </row>
    <row r="688" spans="1:8" x14ac:dyDescent="0.15">
      <c r="E688" s="25"/>
    </row>
    <row r="689" spans="5:5" x14ac:dyDescent="0.15">
      <c r="E689" s="25"/>
    </row>
    <row r="690" spans="5:5" x14ac:dyDescent="0.15">
      <c r="E690" s="25"/>
    </row>
    <row r="691" spans="5:5" x14ac:dyDescent="0.15">
      <c r="E691" s="25"/>
    </row>
    <row r="692" spans="5:5" x14ac:dyDescent="0.15">
      <c r="E692" s="25"/>
    </row>
    <row r="693" spans="5:5" x14ac:dyDescent="0.15">
      <c r="E693" s="25"/>
    </row>
    <row r="694" spans="5:5" x14ac:dyDescent="0.15">
      <c r="E694" s="25"/>
    </row>
    <row r="695" spans="5:5" x14ac:dyDescent="0.15">
      <c r="E695" s="25"/>
    </row>
    <row r="696" spans="5:5" x14ac:dyDescent="0.15">
      <c r="E696" s="25"/>
    </row>
    <row r="697" spans="5:5" x14ac:dyDescent="0.15">
      <c r="E697" s="25"/>
    </row>
    <row r="698" spans="5:5" x14ac:dyDescent="0.15">
      <c r="E698" s="25"/>
    </row>
    <row r="699" spans="5:5" x14ac:dyDescent="0.15">
      <c r="E699" s="25"/>
    </row>
    <row r="700" spans="5:5" x14ac:dyDescent="0.15">
      <c r="E700" s="25"/>
    </row>
    <row r="701" spans="5:5" x14ac:dyDescent="0.15">
      <c r="E701" s="25"/>
    </row>
    <row r="702" spans="5:5" x14ac:dyDescent="0.15">
      <c r="E702" s="25"/>
    </row>
    <row r="703" spans="5:5" x14ac:dyDescent="0.15">
      <c r="E703" s="25"/>
    </row>
    <row r="704" spans="5:5" x14ac:dyDescent="0.15">
      <c r="E704" s="25"/>
    </row>
    <row r="705" spans="5:5" x14ac:dyDescent="0.15">
      <c r="E705" s="25"/>
    </row>
    <row r="706" spans="5:5" x14ac:dyDescent="0.15">
      <c r="E706" s="25"/>
    </row>
    <row r="707" spans="5:5" x14ac:dyDescent="0.15">
      <c r="E707" s="25"/>
    </row>
    <row r="708" spans="5:5" x14ac:dyDescent="0.15">
      <c r="E708" s="25"/>
    </row>
    <row r="709" spans="5:5" x14ac:dyDescent="0.15">
      <c r="E709" s="25"/>
    </row>
    <row r="710" spans="5:5" x14ac:dyDescent="0.15">
      <c r="E710" s="25"/>
    </row>
    <row r="711" spans="5:5" x14ac:dyDescent="0.15">
      <c r="E711" s="25"/>
    </row>
    <row r="712" spans="5:5" x14ac:dyDescent="0.15">
      <c r="E712" s="25"/>
    </row>
    <row r="713" spans="5:5" x14ac:dyDescent="0.15">
      <c r="E713" s="25"/>
    </row>
    <row r="714" spans="5:5" x14ac:dyDescent="0.15">
      <c r="E714" s="25"/>
    </row>
    <row r="715" spans="5:5" x14ac:dyDescent="0.15">
      <c r="E715" s="25"/>
    </row>
    <row r="716" spans="5:5" x14ac:dyDescent="0.15">
      <c r="E716" s="25"/>
    </row>
    <row r="717" spans="5:5" x14ac:dyDescent="0.15">
      <c r="E717" s="25"/>
    </row>
    <row r="718" spans="5:5" x14ac:dyDescent="0.15">
      <c r="E718" s="25"/>
    </row>
    <row r="719" spans="5:5" x14ac:dyDescent="0.15">
      <c r="E719" s="25"/>
    </row>
    <row r="720" spans="5:5" x14ac:dyDescent="0.15">
      <c r="E720" s="25"/>
    </row>
    <row r="721" spans="5:5" x14ac:dyDescent="0.15">
      <c r="E721" s="25"/>
    </row>
    <row r="722" spans="5:5" x14ac:dyDescent="0.15">
      <c r="E722" s="25"/>
    </row>
    <row r="723" spans="5:5" x14ac:dyDescent="0.15">
      <c r="E723" s="25"/>
    </row>
    <row r="724" spans="5:5" x14ac:dyDescent="0.15">
      <c r="E724" s="25"/>
    </row>
    <row r="725" spans="5:5" x14ac:dyDescent="0.15">
      <c r="E725" s="25"/>
    </row>
    <row r="726" spans="5:5" x14ac:dyDescent="0.15">
      <c r="E726" s="25"/>
    </row>
    <row r="727" spans="5:5" x14ac:dyDescent="0.15">
      <c r="E727" s="25"/>
    </row>
    <row r="728" spans="5:5" x14ac:dyDescent="0.15">
      <c r="E728" s="25"/>
    </row>
    <row r="729" spans="5:5" x14ac:dyDescent="0.15">
      <c r="E729" s="25"/>
    </row>
    <row r="730" spans="5:5" x14ac:dyDescent="0.15">
      <c r="E730" s="25"/>
    </row>
    <row r="731" spans="5:5" x14ac:dyDescent="0.15">
      <c r="E731" s="25"/>
    </row>
    <row r="732" spans="5:5" x14ac:dyDescent="0.15">
      <c r="E732" s="25"/>
    </row>
    <row r="733" spans="5:5" x14ac:dyDescent="0.15">
      <c r="E733" s="25"/>
    </row>
    <row r="734" spans="5:5" x14ac:dyDescent="0.15">
      <c r="E734" s="25"/>
    </row>
    <row r="735" spans="5:5" x14ac:dyDescent="0.15">
      <c r="E735" s="25"/>
    </row>
    <row r="736" spans="5:5" x14ac:dyDescent="0.15">
      <c r="E736" s="25"/>
    </row>
    <row r="737" spans="5:5" x14ac:dyDescent="0.15">
      <c r="E737" s="25"/>
    </row>
    <row r="738" spans="5:5" x14ac:dyDescent="0.15">
      <c r="E738" s="25"/>
    </row>
    <row r="739" spans="5:5" x14ac:dyDescent="0.15">
      <c r="E739" s="25"/>
    </row>
    <row r="740" spans="5:5" x14ac:dyDescent="0.15">
      <c r="E740" s="25"/>
    </row>
    <row r="741" spans="5:5" x14ac:dyDescent="0.15">
      <c r="E741" s="25"/>
    </row>
    <row r="742" spans="5:5" x14ac:dyDescent="0.15">
      <c r="E742" s="25"/>
    </row>
    <row r="743" spans="5:5" x14ac:dyDescent="0.15">
      <c r="E743" s="25"/>
    </row>
    <row r="744" spans="5:5" x14ac:dyDescent="0.15">
      <c r="E744" s="25"/>
    </row>
    <row r="745" spans="5:5" x14ac:dyDescent="0.15">
      <c r="E745" s="25"/>
    </row>
    <row r="746" spans="5:5" x14ac:dyDescent="0.15">
      <c r="E746" s="25"/>
    </row>
    <row r="747" spans="5:5" x14ac:dyDescent="0.15">
      <c r="E747" s="25"/>
    </row>
    <row r="748" spans="5:5" x14ac:dyDescent="0.15">
      <c r="E748" s="25"/>
    </row>
    <row r="749" spans="5:5" x14ac:dyDescent="0.15">
      <c r="E749" s="25"/>
    </row>
    <row r="750" spans="5:5" x14ac:dyDescent="0.15">
      <c r="E750" s="25"/>
    </row>
    <row r="751" spans="5:5" x14ac:dyDescent="0.15">
      <c r="E751" s="25"/>
    </row>
    <row r="752" spans="5:5" x14ac:dyDescent="0.15">
      <c r="E752" s="25"/>
    </row>
    <row r="753" spans="5:5" x14ac:dyDescent="0.15">
      <c r="E753" s="25"/>
    </row>
    <row r="754" spans="5:5" x14ac:dyDescent="0.15">
      <c r="E754" s="25"/>
    </row>
    <row r="755" spans="5:5" x14ac:dyDescent="0.15">
      <c r="E755" s="25"/>
    </row>
    <row r="756" spans="5:5" x14ac:dyDescent="0.15">
      <c r="E756" s="25"/>
    </row>
    <row r="757" spans="5:5" x14ac:dyDescent="0.15">
      <c r="E757" s="25"/>
    </row>
    <row r="758" spans="5:5" x14ac:dyDescent="0.15">
      <c r="E758" s="25"/>
    </row>
    <row r="759" spans="5:5" x14ac:dyDescent="0.15">
      <c r="E759" s="25"/>
    </row>
    <row r="760" spans="5:5" x14ac:dyDescent="0.15">
      <c r="E760" s="25"/>
    </row>
    <row r="761" spans="5:5" x14ac:dyDescent="0.15">
      <c r="E761" s="25"/>
    </row>
    <row r="762" spans="5:5" x14ac:dyDescent="0.15">
      <c r="E762" s="25"/>
    </row>
    <row r="763" spans="5:5" x14ac:dyDescent="0.15">
      <c r="E763" s="25"/>
    </row>
    <row r="764" spans="5:5" x14ac:dyDescent="0.15">
      <c r="E764" s="25"/>
    </row>
    <row r="765" spans="5:5" x14ac:dyDescent="0.15">
      <c r="E765" s="25"/>
    </row>
    <row r="766" spans="5:5" x14ac:dyDescent="0.15">
      <c r="E766" s="25"/>
    </row>
    <row r="767" spans="5:5" x14ac:dyDescent="0.15">
      <c r="E767" s="25"/>
    </row>
    <row r="768" spans="5:5" x14ac:dyDescent="0.15">
      <c r="E768" s="25"/>
    </row>
    <row r="769" spans="5:5" x14ac:dyDescent="0.15">
      <c r="E769" s="25"/>
    </row>
    <row r="770" spans="5:5" x14ac:dyDescent="0.15">
      <c r="E770" s="25"/>
    </row>
    <row r="771" spans="5:5" x14ac:dyDescent="0.15">
      <c r="E771" s="25"/>
    </row>
    <row r="772" spans="5:5" x14ac:dyDescent="0.15">
      <c r="E772" s="25"/>
    </row>
    <row r="773" spans="5:5" x14ac:dyDescent="0.15">
      <c r="E773" s="25"/>
    </row>
    <row r="774" spans="5:5" x14ac:dyDescent="0.15">
      <c r="E774" s="25"/>
    </row>
    <row r="775" spans="5:5" x14ac:dyDescent="0.15">
      <c r="E775" s="25"/>
    </row>
    <row r="776" spans="5:5" x14ac:dyDescent="0.15">
      <c r="E776" s="25"/>
    </row>
    <row r="777" spans="5:5" x14ac:dyDescent="0.15">
      <c r="E777" s="25"/>
    </row>
    <row r="778" spans="5:5" x14ac:dyDescent="0.15">
      <c r="E778" s="25"/>
    </row>
    <row r="779" spans="5:5" x14ac:dyDescent="0.15">
      <c r="E779" s="25"/>
    </row>
    <row r="780" spans="5:5" x14ac:dyDescent="0.15">
      <c r="E780" s="25"/>
    </row>
    <row r="781" spans="5:5" x14ac:dyDescent="0.15">
      <c r="E781" s="25"/>
    </row>
    <row r="782" spans="5:5" x14ac:dyDescent="0.15">
      <c r="E782" s="25"/>
    </row>
    <row r="783" spans="5:5" x14ac:dyDescent="0.15">
      <c r="E783" s="25"/>
    </row>
    <row r="784" spans="5:5" x14ac:dyDescent="0.15">
      <c r="E784" s="25"/>
    </row>
    <row r="785" spans="5:5" x14ac:dyDescent="0.15">
      <c r="E785" s="25"/>
    </row>
    <row r="786" spans="5:5" x14ac:dyDescent="0.15">
      <c r="E786" s="25"/>
    </row>
    <row r="787" spans="5:5" x14ac:dyDescent="0.15">
      <c r="E787" s="25"/>
    </row>
    <row r="788" spans="5:5" x14ac:dyDescent="0.15">
      <c r="E788" s="25"/>
    </row>
    <row r="789" spans="5:5" x14ac:dyDescent="0.15">
      <c r="E789" s="25"/>
    </row>
    <row r="790" spans="5:5" x14ac:dyDescent="0.15">
      <c r="E790" s="25"/>
    </row>
    <row r="791" spans="5:5" x14ac:dyDescent="0.15">
      <c r="E791" s="25"/>
    </row>
    <row r="792" spans="5:5" x14ac:dyDescent="0.15">
      <c r="E792" s="25"/>
    </row>
    <row r="793" spans="5:5" x14ac:dyDescent="0.15">
      <c r="E793" s="25"/>
    </row>
    <row r="794" spans="5:5" x14ac:dyDescent="0.15">
      <c r="E794" s="25"/>
    </row>
    <row r="795" spans="5:5" x14ac:dyDescent="0.15">
      <c r="E795" s="25"/>
    </row>
    <row r="796" spans="5:5" x14ac:dyDescent="0.15">
      <c r="E796" s="25"/>
    </row>
    <row r="797" spans="5:5" x14ac:dyDescent="0.15">
      <c r="E797" s="25"/>
    </row>
    <row r="798" spans="5:5" x14ac:dyDescent="0.15">
      <c r="E798" s="25"/>
    </row>
    <row r="799" spans="5:5" x14ac:dyDescent="0.15">
      <c r="E799" s="25"/>
    </row>
    <row r="800" spans="5:5" x14ac:dyDescent="0.15">
      <c r="E800" s="25"/>
    </row>
    <row r="801" spans="5:5" x14ac:dyDescent="0.15">
      <c r="E801" s="25"/>
    </row>
    <row r="802" spans="5:5" x14ac:dyDescent="0.15">
      <c r="E802" s="25"/>
    </row>
    <row r="803" spans="5:5" x14ac:dyDescent="0.15">
      <c r="E803" s="25"/>
    </row>
    <row r="804" spans="5:5" x14ac:dyDescent="0.15">
      <c r="E804" s="25"/>
    </row>
    <row r="805" spans="5:5" x14ac:dyDescent="0.15">
      <c r="E805" s="25"/>
    </row>
    <row r="806" spans="5:5" x14ac:dyDescent="0.15">
      <c r="E806" s="25"/>
    </row>
    <row r="807" spans="5:5" x14ac:dyDescent="0.15">
      <c r="E807" s="25"/>
    </row>
    <row r="808" spans="5:5" x14ac:dyDescent="0.15">
      <c r="E808" s="25"/>
    </row>
    <row r="809" spans="5:5" x14ac:dyDescent="0.15">
      <c r="E809" s="25"/>
    </row>
    <row r="810" spans="5:5" x14ac:dyDescent="0.15">
      <c r="E810" s="25"/>
    </row>
    <row r="811" spans="5:5" x14ac:dyDescent="0.15">
      <c r="E811" s="25"/>
    </row>
    <row r="812" spans="5:5" x14ac:dyDescent="0.15">
      <c r="E812" s="25"/>
    </row>
    <row r="813" spans="5:5" x14ac:dyDescent="0.15">
      <c r="E813" s="25"/>
    </row>
    <row r="814" spans="5:5" x14ac:dyDescent="0.15">
      <c r="E814" s="25"/>
    </row>
    <row r="815" spans="5:5" x14ac:dyDescent="0.15">
      <c r="E815" s="25"/>
    </row>
    <row r="816" spans="5:5" x14ac:dyDescent="0.15">
      <c r="E816" s="25"/>
    </row>
    <row r="817" spans="5:5" x14ac:dyDescent="0.15">
      <c r="E817" s="25"/>
    </row>
    <row r="818" spans="5:5" x14ac:dyDescent="0.15">
      <c r="E818" s="25"/>
    </row>
    <row r="819" spans="5:5" x14ac:dyDescent="0.15">
      <c r="E819" s="25"/>
    </row>
    <row r="820" spans="5:5" x14ac:dyDescent="0.15">
      <c r="E820" s="25"/>
    </row>
    <row r="821" spans="5:5" x14ac:dyDescent="0.15">
      <c r="E821" s="25"/>
    </row>
    <row r="822" spans="5:5" x14ac:dyDescent="0.15">
      <c r="E822" s="25"/>
    </row>
    <row r="823" spans="5:5" x14ac:dyDescent="0.15">
      <c r="E823" s="25"/>
    </row>
    <row r="824" spans="5:5" x14ac:dyDescent="0.15">
      <c r="E824" s="25"/>
    </row>
    <row r="825" spans="5:5" x14ac:dyDescent="0.15">
      <c r="E825" s="25"/>
    </row>
    <row r="826" spans="5:5" x14ac:dyDescent="0.15">
      <c r="E826" s="25"/>
    </row>
    <row r="827" spans="5:5" x14ac:dyDescent="0.15">
      <c r="E827" s="25"/>
    </row>
    <row r="828" spans="5:5" x14ac:dyDescent="0.15">
      <c r="E828" s="25"/>
    </row>
    <row r="829" spans="5:5" x14ac:dyDescent="0.15">
      <c r="E829" s="25"/>
    </row>
    <row r="830" spans="5:5" x14ac:dyDescent="0.15">
      <c r="E830" s="25"/>
    </row>
    <row r="831" spans="5:5" x14ac:dyDescent="0.15">
      <c r="E831" s="25"/>
    </row>
    <row r="832" spans="5:5" x14ac:dyDescent="0.15">
      <c r="E832" s="25"/>
    </row>
    <row r="833" spans="5:5" x14ac:dyDescent="0.15">
      <c r="E833" s="25"/>
    </row>
    <row r="834" spans="5:5" x14ac:dyDescent="0.15">
      <c r="E834" s="25"/>
    </row>
    <row r="835" spans="5:5" x14ac:dyDescent="0.15">
      <c r="E835" s="25"/>
    </row>
    <row r="836" spans="5:5" x14ac:dyDescent="0.15">
      <c r="E836" s="25"/>
    </row>
    <row r="837" spans="5:5" x14ac:dyDescent="0.15">
      <c r="E837" s="25"/>
    </row>
    <row r="838" spans="5:5" x14ac:dyDescent="0.15">
      <c r="E838" s="25"/>
    </row>
    <row r="839" spans="5:5" x14ac:dyDescent="0.15">
      <c r="E839" s="25"/>
    </row>
    <row r="840" spans="5:5" x14ac:dyDescent="0.15">
      <c r="E840" s="25"/>
    </row>
    <row r="841" spans="5:5" x14ac:dyDescent="0.15">
      <c r="E841" s="25"/>
    </row>
    <row r="842" spans="5:5" x14ac:dyDescent="0.15">
      <c r="E842" s="25"/>
    </row>
    <row r="843" spans="5:5" x14ac:dyDescent="0.15">
      <c r="E843" s="25"/>
    </row>
    <row r="844" spans="5:5" x14ac:dyDescent="0.15">
      <c r="E844" s="25"/>
    </row>
    <row r="845" spans="5:5" x14ac:dyDescent="0.15">
      <c r="E845" s="25"/>
    </row>
    <row r="846" spans="5:5" x14ac:dyDescent="0.15">
      <c r="E846" s="25"/>
    </row>
    <row r="847" spans="5:5" x14ac:dyDescent="0.15">
      <c r="E847" s="25"/>
    </row>
    <row r="848" spans="5:5" x14ac:dyDescent="0.15">
      <c r="E848" s="25"/>
    </row>
    <row r="849" spans="5:5" x14ac:dyDescent="0.15">
      <c r="E849" s="25"/>
    </row>
    <row r="850" spans="5:5" x14ac:dyDescent="0.15">
      <c r="E850" s="25"/>
    </row>
    <row r="851" spans="5:5" x14ac:dyDescent="0.15">
      <c r="E851" s="25"/>
    </row>
    <row r="852" spans="5:5" x14ac:dyDescent="0.15">
      <c r="E852" s="25"/>
    </row>
    <row r="853" spans="5:5" x14ac:dyDescent="0.15">
      <c r="E853" s="25"/>
    </row>
    <row r="854" spans="5:5" x14ac:dyDescent="0.15">
      <c r="E854" s="25"/>
    </row>
    <row r="855" spans="5:5" x14ac:dyDescent="0.15">
      <c r="E855" s="25"/>
    </row>
    <row r="856" spans="5:5" x14ac:dyDescent="0.15">
      <c r="E856" s="25"/>
    </row>
    <row r="857" spans="5:5" x14ac:dyDescent="0.15">
      <c r="E857" s="25"/>
    </row>
    <row r="858" spans="5:5" x14ac:dyDescent="0.15">
      <c r="E858" s="25"/>
    </row>
    <row r="859" spans="5:5" x14ac:dyDescent="0.15">
      <c r="E859" s="25"/>
    </row>
    <row r="860" spans="5:5" x14ac:dyDescent="0.15">
      <c r="E860" s="25"/>
    </row>
    <row r="861" spans="5:5" x14ac:dyDescent="0.15">
      <c r="E861" s="25"/>
    </row>
    <row r="862" spans="5:5" x14ac:dyDescent="0.15">
      <c r="E862" s="25"/>
    </row>
    <row r="863" spans="5:5" x14ac:dyDescent="0.15">
      <c r="E863" s="25"/>
    </row>
    <row r="864" spans="5:5" x14ac:dyDescent="0.15">
      <c r="E864" s="25"/>
    </row>
    <row r="865" spans="5:5" x14ac:dyDescent="0.15">
      <c r="E865" s="25"/>
    </row>
    <row r="866" spans="5:5" x14ac:dyDescent="0.15">
      <c r="E866" s="25"/>
    </row>
    <row r="867" spans="5:5" x14ac:dyDescent="0.15">
      <c r="E867" s="25"/>
    </row>
    <row r="868" spans="5:5" x14ac:dyDescent="0.15">
      <c r="E868" s="25"/>
    </row>
    <row r="869" spans="5:5" x14ac:dyDescent="0.15">
      <c r="E869" s="25"/>
    </row>
    <row r="870" spans="5:5" x14ac:dyDescent="0.15">
      <c r="E870" s="25"/>
    </row>
    <row r="871" spans="5:5" x14ac:dyDescent="0.15">
      <c r="E871" s="25"/>
    </row>
    <row r="872" spans="5:5" x14ac:dyDescent="0.15">
      <c r="E872" s="25"/>
    </row>
    <row r="873" spans="5:5" x14ac:dyDescent="0.15">
      <c r="E873" s="25"/>
    </row>
    <row r="874" spans="5:5" x14ac:dyDescent="0.15">
      <c r="E874" s="25"/>
    </row>
    <row r="875" spans="5:5" x14ac:dyDescent="0.15">
      <c r="E875" s="25"/>
    </row>
    <row r="876" spans="5:5" x14ac:dyDescent="0.15">
      <c r="E876" s="25"/>
    </row>
    <row r="877" spans="5:5" x14ac:dyDescent="0.15">
      <c r="E877" s="25"/>
    </row>
    <row r="878" spans="5:5" x14ac:dyDescent="0.15">
      <c r="E878" s="25"/>
    </row>
    <row r="879" spans="5:5" x14ac:dyDescent="0.15">
      <c r="E879" s="25"/>
    </row>
    <row r="880" spans="5:5" x14ac:dyDescent="0.15">
      <c r="E880" s="25"/>
    </row>
    <row r="881" spans="5:5" x14ac:dyDescent="0.15">
      <c r="E881" s="25"/>
    </row>
    <row r="882" spans="5:5" x14ac:dyDescent="0.15">
      <c r="E882" s="25"/>
    </row>
    <row r="883" spans="5:5" x14ac:dyDescent="0.15">
      <c r="E883" s="25"/>
    </row>
    <row r="884" spans="5:5" x14ac:dyDescent="0.15">
      <c r="E884" s="25"/>
    </row>
    <row r="885" spans="5:5" x14ac:dyDescent="0.15">
      <c r="E885" s="25"/>
    </row>
    <row r="886" spans="5:5" x14ac:dyDescent="0.15">
      <c r="E886" s="25"/>
    </row>
    <row r="887" spans="5:5" x14ac:dyDescent="0.15">
      <c r="E887" s="25"/>
    </row>
    <row r="888" spans="5:5" x14ac:dyDescent="0.15">
      <c r="E888" s="25"/>
    </row>
    <row r="889" spans="5:5" x14ac:dyDescent="0.15">
      <c r="E889" s="25"/>
    </row>
    <row r="890" spans="5:5" x14ac:dyDescent="0.15">
      <c r="E890" s="25"/>
    </row>
    <row r="891" spans="5:5" x14ac:dyDescent="0.15">
      <c r="E891" s="25"/>
    </row>
    <row r="892" spans="5:5" x14ac:dyDescent="0.15">
      <c r="E892" s="25"/>
    </row>
    <row r="893" spans="5:5" x14ac:dyDescent="0.15">
      <c r="E893" s="25"/>
    </row>
    <row r="894" spans="5:5" x14ac:dyDescent="0.15">
      <c r="E894" s="25"/>
    </row>
    <row r="895" spans="5:5" x14ac:dyDescent="0.15">
      <c r="E895" s="25"/>
    </row>
    <row r="896" spans="5:5" x14ac:dyDescent="0.15">
      <c r="E896" s="25"/>
    </row>
    <row r="897" spans="5:5" x14ac:dyDescent="0.15">
      <c r="E897" s="25"/>
    </row>
    <row r="898" spans="5:5" x14ac:dyDescent="0.15">
      <c r="E898" s="25"/>
    </row>
    <row r="899" spans="5:5" x14ac:dyDescent="0.15">
      <c r="E899" s="25"/>
    </row>
    <row r="900" spans="5:5" x14ac:dyDescent="0.15">
      <c r="E900" s="25"/>
    </row>
    <row r="901" spans="5:5" x14ac:dyDescent="0.15">
      <c r="E901" s="25"/>
    </row>
    <row r="902" spans="5:5" x14ac:dyDescent="0.15">
      <c r="E902" s="25"/>
    </row>
    <row r="903" spans="5:5" x14ac:dyDescent="0.15">
      <c r="E903" s="25"/>
    </row>
    <row r="904" spans="5:5" x14ac:dyDescent="0.15">
      <c r="E904" s="25"/>
    </row>
    <row r="905" spans="5:5" x14ac:dyDescent="0.15">
      <c r="E905" s="25"/>
    </row>
    <row r="906" spans="5:5" x14ac:dyDescent="0.15">
      <c r="E906" s="25"/>
    </row>
    <row r="907" spans="5:5" x14ac:dyDescent="0.15">
      <c r="E907" s="25"/>
    </row>
    <row r="908" spans="5:5" x14ac:dyDescent="0.15">
      <c r="E908" s="25"/>
    </row>
    <row r="909" spans="5:5" x14ac:dyDescent="0.15">
      <c r="E909" s="25"/>
    </row>
    <row r="910" spans="5:5" x14ac:dyDescent="0.15">
      <c r="E910" s="25"/>
    </row>
    <row r="911" spans="5:5" x14ac:dyDescent="0.15">
      <c r="E911" s="25"/>
    </row>
    <row r="912" spans="5:5" x14ac:dyDescent="0.15">
      <c r="E912" s="25"/>
    </row>
    <row r="913" spans="5:5" x14ac:dyDescent="0.15">
      <c r="E913" s="25"/>
    </row>
    <row r="914" spans="5:5" x14ac:dyDescent="0.15">
      <c r="E914" s="25"/>
    </row>
    <row r="915" spans="5:5" x14ac:dyDescent="0.15">
      <c r="E915" s="25"/>
    </row>
    <row r="916" spans="5:5" x14ac:dyDescent="0.15">
      <c r="E916" s="25"/>
    </row>
    <row r="917" spans="5:5" x14ac:dyDescent="0.15">
      <c r="E917" s="25"/>
    </row>
    <row r="918" spans="5:5" x14ac:dyDescent="0.15">
      <c r="E918" s="25"/>
    </row>
    <row r="919" spans="5:5" x14ac:dyDescent="0.15">
      <c r="E919" s="25"/>
    </row>
    <row r="920" spans="5:5" x14ac:dyDescent="0.15">
      <c r="E920" s="25"/>
    </row>
    <row r="921" spans="5:5" x14ac:dyDescent="0.15">
      <c r="E921" s="25"/>
    </row>
    <row r="922" spans="5:5" x14ac:dyDescent="0.15">
      <c r="E922" s="25"/>
    </row>
    <row r="923" spans="5:5" x14ac:dyDescent="0.15">
      <c r="E923" s="25"/>
    </row>
    <row r="924" spans="5:5" x14ac:dyDescent="0.15">
      <c r="E924" s="25"/>
    </row>
    <row r="925" spans="5:5" x14ac:dyDescent="0.15">
      <c r="E925" s="25"/>
    </row>
    <row r="926" spans="5:5" x14ac:dyDescent="0.15">
      <c r="E926" s="25"/>
    </row>
    <row r="927" spans="5:5" x14ac:dyDescent="0.15">
      <c r="E927" s="25"/>
    </row>
    <row r="928" spans="5:5" x14ac:dyDescent="0.15">
      <c r="E928" s="25"/>
    </row>
    <row r="929" spans="5:5" x14ac:dyDescent="0.15">
      <c r="E929" s="25"/>
    </row>
    <row r="930" spans="5:5" x14ac:dyDescent="0.15">
      <c r="E930" s="25"/>
    </row>
    <row r="931" spans="5:5" x14ac:dyDescent="0.15">
      <c r="E931" s="25"/>
    </row>
    <row r="932" spans="5:5" x14ac:dyDescent="0.15">
      <c r="E932" s="25"/>
    </row>
    <row r="933" spans="5:5" x14ac:dyDescent="0.15">
      <c r="E933" s="25"/>
    </row>
    <row r="934" spans="5:5" x14ac:dyDescent="0.15">
      <c r="E934" s="25"/>
    </row>
    <row r="935" spans="5:5" x14ac:dyDescent="0.15">
      <c r="E935" s="25"/>
    </row>
    <row r="936" spans="5:5" x14ac:dyDescent="0.15">
      <c r="E936" s="25"/>
    </row>
    <row r="937" spans="5:5" x14ac:dyDescent="0.15">
      <c r="E937" s="25"/>
    </row>
    <row r="938" spans="5:5" x14ac:dyDescent="0.15">
      <c r="E938" s="25"/>
    </row>
    <row r="939" spans="5:5" x14ac:dyDescent="0.15">
      <c r="E939" s="25"/>
    </row>
    <row r="940" spans="5:5" x14ac:dyDescent="0.15">
      <c r="E940" s="25"/>
    </row>
    <row r="941" spans="5:5" x14ac:dyDescent="0.15">
      <c r="E941" s="25"/>
    </row>
    <row r="942" spans="5:5" x14ac:dyDescent="0.15">
      <c r="E942" s="25"/>
    </row>
    <row r="943" spans="5:5" x14ac:dyDescent="0.15">
      <c r="E943" s="25"/>
    </row>
    <row r="944" spans="5:5" x14ac:dyDescent="0.15">
      <c r="E944" s="25"/>
    </row>
    <row r="945" spans="5:5" x14ac:dyDescent="0.15">
      <c r="E945" s="25"/>
    </row>
    <row r="946" spans="5:5" x14ac:dyDescent="0.15">
      <c r="E946" s="25"/>
    </row>
    <row r="947" spans="5:5" x14ac:dyDescent="0.15">
      <c r="E947" s="25"/>
    </row>
    <row r="948" spans="5:5" x14ac:dyDescent="0.15">
      <c r="E948" s="25"/>
    </row>
    <row r="949" spans="5:5" x14ac:dyDescent="0.15">
      <c r="E949" s="25"/>
    </row>
    <row r="950" spans="5:5" x14ac:dyDescent="0.15">
      <c r="E950" s="25"/>
    </row>
    <row r="951" spans="5:5" x14ac:dyDescent="0.15">
      <c r="E951" s="25"/>
    </row>
    <row r="952" spans="5:5" x14ac:dyDescent="0.15">
      <c r="E952" s="25"/>
    </row>
    <row r="953" spans="5:5" x14ac:dyDescent="0.15">
      <c r="E953" s="25"/>
    </row>
    <row r="954" spans="5:5" x14ac:dyDescent="0.15">
      <c r="E954" s="25"/>
    </row>
    <row r="955" spans="5:5" x14ac:dyDescent="0.15">
      <c r="E955" s="25"/>
    </row>
    <row r="956" spans="5:5" x14ac:dyDescent="0.15">
      <c r="E956" s="25"/>
    </row>
    <row r="957" spans="5:5" x14ac:dyDescent="0.15">
      <c r="E957" s="25"/>
    </row>
    <row r="958" spans="5:5" x14ac:dyDescent="0.15">
      <c r="E958" s="25"/>
    </row>
    <row r="959" spans="5:5" x14ac:dyDescent="0.15">
      <c r="E959" s="25"/>
    </row>
    <row r="960" spans="5:5" x14ac:dyDescent="0.15">
      <c r="E960" s="25"/>
    </row>
    <row r="961" spans="5:5" x14ac:dyDescent="0.15">
      <c r="E961" s="25"/>
    </row>
    <row r="962" spans="5:5" x14ac:dyDescent="0.15">
      <c r="E962" s="25"/>
    </row>
    <row r="963" spans="5:5" x14ac:dyDescent="0.15">
      <c r="E963" s="25"/>
    </row>
    <row r="964" spans="5:5" x14ac:dyDescent="0.15">
      <c r="E964" s="25"/>
    </row>
    <row r="965" spans="5:5" x14ac:dyDescent="0.15">
      <c r="E965" s="25"/>
    </row>
    <row r="966" spans="5:5" x14ac:dyDescent="0.15">
      <c r="E966" s="25"/>
    </row>
    <row r="967" spans="5:5" x14ac:dyDescent="0.15">
      <c r="E967" s="25"/>
    </row>
    <row r="968" spans="5:5" x14ac:dyDescent="0.15">
      <c r="E968" s="25"/>
    </row>
    <row r="969" spans="5:5" x14ac:dyDescent="0.15">
      <c r="E969" s="25"/>
    </row>
    <row r="970" spans="5:5" x14ac:dyDescent="0.15">
      <c r="E970" s="25"/>
    </row>
    <row r="971" spans="5:5" x14ac:dyDescent="0.15">
      <c r="E971" s="25"/>
    </row>
    <row r="972" spans="5:5" x14ac:dyDescent="0.15">
      <c r="E972" s="25"/>
    </row>
    <row r="973" spans="5:5" x14ac:dyDescent="0.15">
      <c r="E973" s="25"/>
    </row>
    <row r="974" spans="5:5" x14ac:dyDescent="0.15">
      <c r="E974" s="25"/>
    </row>
    <row r="975" spans="5:5" x14ac:dyDescent="0.15">
      <c r="E975" s="25"/>
    </row>
    <row r="976" spans="5:5" x14ac:dyDescent="0.15">
      <c r="E976" s="25"/>
    </row>
    <row r="977" spans="5:5" x14ac:dyDescent="0.15">
      <c r="E977" s="25"/>
    </row>
    <row r="978" spans="5:5" x14ac:dyDescent="0.15">
      <c r="E978" s="25"/>
    </row>
    <row r="979" spans="5:5" x14ac:dyDescent="0.15">
      <c r="E979" s="25"/>
    </row>
    <row r="980" spans="5:5" x14ac:dyDescent="0.15">
      <c r="E980" s="25"/>
    </row>
    <row r="981" spans="5:5" x14ac:dyDescent="0.15">
      <c r="E981" s="25"/>
    </row>
    <row r="982" spans="5:5" x14ac:dyDescent="0.15">
      <c r="E982" s="25"/>
    </row>
    <row r="983" spans="5:5" x14ac:dyDescent="0.15">
      <c r="E983" s="25"/>
    </row>
    <row r="984" spans="5:5" x14ac:dyDescent="0.15">
      <c r="E984" s="25"/>
    </row>
    <row r="985" spans="5:5" x14ac:dyDescent="0.15">
      <c r="E985" s="25"/>
    </row>
    <row r="986" spans="5:5" x14ac:dyDescent="0.15">
      <c r="E986" s="25"/>
    </row>
    <row r="987" spans="5:5" x14ac:dyDescent="0.15">
      <c r="E987" s="25"/>
    </row>
    <row r="988" spans="5:5" x14ac:dyDescent="0.15">
      <c r="E988" s="25"/>
    </row>
    <row r="989" spans="5:5" x14ac:dyDescent="0.15">
      <c r="E989" s="25"/>
    </row>
    <row r="990" spans="5:5" x14ac:dyDescent="0.15">
      <c r="E990" s="25"/>
    </row>
    <row r="991" spans="5:5" x14ac:dyDescent="0.15">
      <c r="E991" s="25"/>
    </row>
    <row r="992" spans="5:5" x14ac:dyDescent="0.15">
      <c r="E992" s="25"/>
    </row>
    <row r="993" spans="5:5" x14ac:dyDescent="0.15">
      <c r="E993" s="25"/>
    </row>
    <row r="994" spans="5:5" x14ac:dyDescent="0.15">
      <c r="E994" s="25"/>
    </row>
    <row r="995" spans="5:5" x14ac:dyDescent="0.15">
      <c r="E995" s="25"/>
    </row>
    <row r="996" spans="5:5" x14ac:dyDescent="0.15">
      <c r="E996" s="25"/>
    </row>
    <row r="997" spans="5:5" x14ac:dyDescent="0.15">
      <c r="E997" s="25"/>
    </row>
    <row r="998" spans="5:5" x14ac:dyDescent="0.15">
      <c r="E998" s="25"/>
    </row>
    <row r="999" spans="5:5" x14ac:dyDescent="0.15">
      <c r="E999" s="25"/>
    </row>
    <row r="1000" spans="5:5" x14ac:dyDescent="0.15">
      <c r="E1000" s="25"/>
    </row>
    <row r="1001" spans="5:5" x14ac:dyDescent="0.15">
      <c r="E1001" s="25"/>
    </row>
    <row r="1002" spans="5:5" x14ac:dyDescent="0.15">
      <c r="E1002" s="25"/>
    </row>
    <row r="1003" spans="5:5" x14ac:dyDescent="0.15">
      <c r="E1003" s="25"/>
    </row>
    <row r="1004" spans="5:5" x14ac:dyDescent="0.15">
      <c r="E1004" s="25"/>
    </row>
    <row r="1005" spans="5:5" x14ac:dyDescent="0.15">
      <c r="E1005" s="25"/>
    </row>
    <row r="1006" spans="5:5" x14ac:dyDescent="0.15">
      <c r="E1006" s="25"/>
    </row>
    <row r="1007" spans="5:5" x14ac:dyDescent="0.15">
      <c r="E1007" s="25"/>
    </row>
    <row r="1008" spans="5:5" x14ac:dyDescent="0.15">
      <c r="E1008" s="25"/>
    </row>
    <row r="1009" spans="5:5" x14ac:dyDescent="0.15">
      <c r="E1009" s="25"/>
    </row>
    <row r="1010" spans="5:5" x14ac:dyDescent="0.15">
      <c r="E1010" s="25"/>
    </row>
    <row r="1011" spans="5:5" x14ac:dyDescent="0.15">
      <c r="E1011" s="25"/>
    </row>
    <row r="1012" spans="5:5" x14ac:dyDescent="0.15">
      <c r="E1012" s="25"/>
    </row>
    <row r="1013" spans="5:5" x14ac:dyDescent="0.15">
      <c r="E1013" s="25"/>
    </row>
    <row r="1014" spans="5:5" x14ac:dyDescent="0.15">
      <c r="E1014" s="25"/>
    </row>
    <row r="1015" spans="5:5" x14ac:dyDescent="0.15">
      <c r="E1015" s="25"/>
    </row>
    <row r="1016" spans="5:5" x14ac:dyDescent="0.15">
      <c r="E1016" s="25"/>
    </row>
    <row r="1017" spans="5:5" x14ac:dyDescent="0.15">
      <c r="E1017" s="25"/>
    </row>
    <row r="1018" spans="5:5" x14ac:dyDescent="0.15">
      <c r="E1018" s="25"/>
    </row>
    <row r="1019" spans="5:5" x14ac:dyDescent="0.15">
      <c r="E1019" s="25"/>
    </row>
    <row r="1020" spans="5:5" x14ac:dyDescent="0.15">
      <c r="E1020" s="25"/>
    </row>
    <row r="1021" spans="5:5" x14ac:dyDescent="0.15">
      <c r="E1021" s="25"/>
    </row>
    <row r="1022" spans="5:5" x14ac:dyDescent="0.15">
      <c r="E1022" s="25"/>
    </row>
    <row r="1023" spans="5:5" x14ac:dyDescent="0.15">
      <c r="E1023" s="25"/>
    </row>
    <row r="1024" spans="5:5" x14ac:dyDescent="0.15">
      <c r="E1024" s="25"/>
    </row>
    <row r="1025" spans="5:5" x14ac:dyDescent="0.15">
      <c r="E1025" s="25"/>
    </row>
    <row r="1026" spans="5:5" x14ac:dyDescent="0.15">
      <c r="E1026" s="25"/>
    </row>
    <row r="1027" spans="5:5" x14ac:dyDescent="0.15">
      <c r="E1027" s="25"/>
    </row>
    <row r="1028" spans="5:5" x14ac:dyDescent="0.15">
      <c r="E1028" s="25"/>
    </row>
    <row r="1029" spans="5:5" x14ac:dyDescent="0.15">
      <c r="E1029" s="25"/>
    </row>
    <row r="1030" spans="5:5" x14ac:dyDescent="0.15">
      <c r="E1030" s="25"/>
    </row>
    <row r="1031" spans="5:5" x14ac:dyDescent="0.15">
      <c r="E1031" s="25"/>
    </row>
    <row r="1032" spans="5:5" x14ac:dyDescent="0.15">
      <c r="E1032" s="25"/>
    </row>
    <row r="1033" spans="5:5" x14ac:dyDescent="0.15">
      <c r="E1033" s="25"/>
    </row>
    <row r="1034" spans="5:5" x14ac:dyDescent="0.15">
      <c r="E1034" s="25"/>
    </row>
    <row r="1035" spans="5:5" x14ac:dyDescent="0.15">
      <c r="E1035" s="25"/>
    </row>
    <row r="1036" spans="5:5" x14ac:dyDescent="0.15">
      <c r="E1036" s="25"/>
    </row>
    <row r="1037" spans="5:5" x14ac:dyDescent="0.15">
      <c r="E1037" s="25"/>
    </row>
    <row r="1038" spans="5:5" x14ac:dyDescent="0.15">
      <c r="E1038" s="25"/>
    </row>
    <row r="1039" spans="5:5" x14ac:dyDescent="0.15">
      <c r="E1039" s="25"/>
    </row>
    <row r="1040" spans="5:5" x14ac:dyDescent="0.15">
      <c r="E1040" s="25"/>
    </row>
    <row r="1041" spans="5:5" x14ac:dyDescent="0.15">
      <c r="E1041" s="25"/>
    </row>
    <row r="1042" spans="5:5" x14ac:dyDescent="0.15">
      <c r="E1042" s="25"/>
    </row>
    <row r="1043" spans="5:5" x14ac:dyDescent="0.15">
      <c r="E1043" s="25"/>
    </row>
    <row r="1044" spans="5:5" x14ac:dyDescent="0.15">
      <c r="E1044" s="25"/>
    </row>
    <row r="1045" spans="5:5" x14ac:dyDescent="0.15">
      <c r="E1045" s="25"/>
    </row>
    <row r="1046" spans="5:5" x14ac:dyDescent="0.15">
      <c r="E1046" s="25"/>
    </row>
    <row r="1047" spans="5:5" x14ac:dyDescent="0.15">
      <c r="E1047" s="25"/>
    </row>
    <row r="1048" spans="5:5" x14ac:dyDescent="0.15">
      <c r="E1048" s="25"/>
    </row>
    <row r="1049" spans="5:5" x14ac:dyDescent="0.15">
      <c r="E1049" s="25"/>
    </row>
    <row r="1050" spans="5:5" x14ac:dyDescent="0.15">
      <c r="E1050" s="25"/>
    </row>
    <row r="1051" spans="5:5" x14ac:dyDescent="0.15">
      <c r="E1051" s="25"/>
    </row>
    <row r="1052" spans="5:5" x14ac:dyDescent="0.15">
      <c r="E1052" s="25"/>
    </row>
    <row r="1053" spans="5:5" x14ac:dyDescent="0.15">
      <c r="E1053" s="25"/>
    </row>
    <row r="1054" spans="5:5" x14ac:dyDescent="0.15">
      <c r="E1054" s="25"/>
    </row>
    <row r="1055" spans="5:5" x14ac:dyDescent="0.15">
      <c r="E1055" s="25"/>
    </row>
    <row r="1056" spans="5:5" x14ac:dyDescent="0.15">
      <c r="E1056" s="25"/>
    </row>
    <row r="1057" spans="5:5" x14ac:dyDescent="0.15">
      <c r="E1057" s="25"/>
    </row>
    <row r="1058" spans="5:5" x14ac:dyDescent="0.15">
      <c r="E1058" s="25"/>
    </row>
    <row r="1059" spans="5:5" x14ac:dyDescent="0.15">
      <c r="E1059" s="25"/>
    </row>
    <row r="1060" spans="5:5" x14ac:dyDescent="0.15">
      <c r="E1060" s="25"/>
    </row>
    <row r="1061" spans="5:5" x14ac:dyDescent="0.15">
      <c r="E1061" s="25"/>
    </row>
    <row r="1062" spans="5:5" x14ac:dyDescent="0.15">
      <c r="E1062" s="25"/>
    </row>
    <row r="1063" spans="5:5" x14ac:dyDescent="0.15">
      <c r="E1063" s="25"/>
    </row>
    <row r="1064" spans="5:5" x14ac:dyDescent="0.15">
      <c r="E1064" s="25"/>
    </row>
    <row r="1065" spans="5:5" x14ac:dyDescent="0.15">
      <c r="E1065" s="25"/>
    </row>
    <row r="1066" spans="5:5" x14ac:dyDescent="0.15">
      <c r="E1066" s="25"/>
    </row>
    <row r="1067" spans="5:5" x14ac:dyDescent="0.15">
      <c r="E1067" s="25"/>
    </row>
    <row r="1068" spans="5:5" x14ac:dyDescent="0.15">
      <c r="E1068" s="25"/>
    </row>
    <row r="1069" spans="5:5" x14ac:dyDescent="0.15">
      <c r="E1069" s="25"/>
    </row>
    <row r="1070" spans="5:5" x14ac:dyDescent="0.15">
      <c r="E1070" s="25"/>
    </row>
    <row r="1071" spans="5:5" x14ac:dyDescent="0.15">
      <c r="E1071" s="25"/>
    </row>
    <row r="1072" spans="5:5" x14ac:dyDescent="0.15">
      <c r="E1072" s="25"/>
    </row>
    <row r="1073" spans="5:5" x14ac:dyDescent="0.15">
      <c r="E1073" s="25"/>
    </row>
    <row r="1074" spans="5:5" x14ac:dyDescent="0.15">
      <c r="E1074" s="25"/>
    </row>
    <row r="1075" spans="5:5" x14ac:dyDescent="0.15">
      <c r="E1075" s="25"/>
    </row>
    <row r="1076" spans="5:5" x14ac:dyDescent="0.15">
      <c r="E1076" s="25"/>
    </row>
    <row r="1077" spans="5:5" x14ac:dyDescent="0.15">
      <c r="E1077" s="25"/>
    </row>
    <row r="1078" spans="5:5" x14ac:dyDescent="0.15">
      <c r="E1078" s="25"/>
    </row>
    <row r="1079" spans="5:5" x14ac:dyDescent="0.15">
      <c r="E1079" s="25"/>
    </row>
    <row r="1080" spans="5:5" x14ac:dyDescent="0.15">
      <c r="E1080" s="25"/>
    </row>
    <row r="1081" spans="5:5" x14ac:dyDescent="0.15">
      <c r="E1081" s="25"/>
    </row>
    <row r="1082" spans="5:5" x14ac:dyDescent="0.15">
      <c r="E1082" s="25"/>
    </row>
    <row r="1083" spans="5:5" x14ac:dyDescent="0.15">
      <c r="E1083" s="25"/>
    </row>
    <row r="1084" spans="5:5" x14ac:dyDescent="0.15">
      <c r="E1084" s="25"/>
    </row>
    <row r="1085" spans="5:5" x14ac:dyDescent="0.15">
      <c r="E1085" s="25"/>
    </row>
    <row r="1086" spans="5:5" x14ac:dyDescent="0.15">
      <c r="E1086" s="25"/>
    </row>
    <row r="1087" spans="5:5" x14ac:dyDescent="0.15">
      <c r="E1087" s="25"/>
    </row>
    <row r="1088" spans="5:5" x14ac:dyDescent="0.15">
      <c r="E1088" s="25"/>
    </row>
    <row r="1089" spans="5:5" x14ac:dyDescent="0.15">
      <c r="E1089" s="25"/>
    </row>
    <row r="1090" spans="5:5" x14ac:dyDescent="0.15">
      <c r="E1090" s="25"/>
    </row>
    <row r="1091" spans="5:5" x14ac:dyDescent="0.15">
      <c r="E1091" s="25"/>
    </row>
    <row r="1092" spans="5:5" x14ac:dyDescent="0.15">
      <c r="E1092" s="25"/>
    </row>
    <row r="1093" spans="5:5" x14ac:dyDescent="0.15">
      <c r="E1093" s="25"/>
    </row>
    <row r="1094" spans="5:5" x14ac:dyDescent="0.15">
      <c r="E1094" s="25"/>
    </row>
    <row r="1095" spans="5:5" x14ac:dyDescent="0.15">
      <c r="E1095" s="25"/>
    </row>
    <row r="1096" spans="5:5" x14ac:dyDescent="0.15">
      <c r="E1096" s="25"/>
    </row>
    <row r="1097" spans="5:5" x14ac:dyDescent="0.15">
      <c r="E1097" s="25"/>
    </row>
    <row r="1098" spans="5:5" x14ac:dyDescent="0.15">
      <c r="E1098" s="25"/>
    </row>
    <row r="1099" spans="5:5" x14ac:dyDescent="0.15">
      <c r="E1099" s="25"/>
    </row>
    <row r="1100" spans="5:5" x14ac:dyDescent="0.15">
      <c r="E1100" s="25"/>
    </row>
    <row r="1101" spans="5:5" x14ac:dyDescent="0.15">
      <c r="E1101" s="25"/>
    </row>
    <row r="1102" spans="5:5" x14ac:dyDescent="0.15">
      <c r="E1102" s="25"/>
    </row>
    <row r="1103" spans="5:5" x14ac:dyDescent="0.15">
      <c r="E1103" s="25"/>
    </row>
    <row r="1104" spans="5:5" x14ac:dyDescent="0.15">
      <c r="E1104" s="25"/>
    </row>
    <row r="1105" spans="5:5" x14ac:dyDescent="0.15">
      <c r="E1105" s="25"/>
    </row>
    <row r="1106" spans="5:5" x14ac:dyDescent="0.15">
      <c r="E1106" s="25"/>
    </row>
    <row r="1107" spans="5:5" x14ac:dyDescent="0.15">
      <c r="E1107" s="25"/>
    </row>
    <row r="1108" spans="5:5" x14ac:dyDescent="0.15">
      <c r="E1108" s="25"/>
    </row>
    <row r="1109" spans="5:5" x14ac:dyDescent="0.15">
      <c r="E1109" s="25"/>
    </row>
    <row r="1110" spans="5:5" x14ac:dyDescent="0.15">
      <c r="E1110" s="25"/>
    </row>
    <row r="1111" spans="5:5" x14ac:dyDescent="0.15">
      <c r="E1111" s="25"/>
    </row>
    <row r="1112" spans="5:5" x14ac:dyDescent="0.15">
      <c r="E1112" s="25"/>
    </row>
    <row r="1113" spans="5:5" x14ac:dyDescent="0.15">
      <c r="E1113" s="25"/>
    </row>
    <row r="1114" spans="5:5" x14ac:dyDescent="0.15">
      <c r="E1114" s="25"/>
    </row>
    <row r="1115" spans="5:5" x14ac:dyDescent="0.15">
      <c r="E1115" s="25"/>
    </row>
    <row r="1116" spans="5:5" x14ac:dyDescent="0.15">
      <c r="E1116" s="25"/>
    </row>
    <row r="1117" spans="5:5" x14ac:dyDescent="0.15">
      <c r="E1117" s="25"/>
    </row>
    <row r="1118" spans="5:5" x14ac:dyDescent="0.15">
      <c r="E1118" s="25"/>
    </row>
    <row r="1119" spans="5:5" x14ac:dyDescent="0.15">
      <c r="E1119" s="25"/>
    </row>
    <row r="1120" spans="5:5" x14ac:dyDescent="0.15">
      <c r="E1120" s="25"/>
    </row>
    <row r="1121" spans="5:5" x14ac:dyDescent="0.15">
      <c r="E1121" s="25"/>
    </row>
    <row r="1122" spans="5:5" x14ac:dyDescent="0.15">
      <c r="E1122" s="25"/>
    </row>
    <row r="1123" spans="5:5" x14ac:dyDescent="0.15">
      <c r="E1123" s="25"/>
    </row>
    <row r="1124" spans="5:5" x14ac:dyDescent="0.15">
      <c r="E1124" s="25"/>
    </row>
    <row r="1125" spans="5:5" x14ac:dyDescent="0.15">
      <c r="E1125" s="25"/>
    </row>
    <row r="1126" spans="5:5" x14ac:dyDescent="0.15">
      <c r="E1126" s="25"/>
    </row>
    <row r="1127" spans="5:5" x14ac:dyDescent="0.15">
      <c r="E1127" s="25"/>
    </row>
    <row r="1128" spans="5:5" x14ac:dyDescent="0.15">
      <c r="E1128" s="25"/>
    </row>
    <row r="1129" spans="5:5" x14ac:dyDescent="0.15">
      <c r="E1129" s="25"/>
    </row>
    <row r="1130" spans="5:5" x14ac:dyDescent="0.15">
      <c r="E1130" s="25"/>
    </row>
    <row r="1131" spans="5:5" x14ac:dyDescent="0.15">
      <c r="E1131" s="25"/>
    </row>
    <row r="1132" spans="5:5" x14ac:dyDescent="0.15">
      <c r="E1132" s="25"/>
    </row>
    <row r="1133" spans="5:5" x14ac:dyDescent="0.15">
      <c r="E1133" s="25"/>
    </row>
    <row r="1134" spans="5:5" x14ac:dyDescent="0.15">
      <c r="E1134" s="25"/>
    </row>
    <row r="1135" spans="5:5" x14ac:dyDescent="0.15">
      <c r="E1135" s="25"/>
    </row>
    <row r="1136" spans="5:5" x14ac:dyDescent="0.15">
      <c r="E1136" s="25"/>
    </row>
    <row r="1137" spans="5:5" x14ac:dyDescent="0.15">
      <c r="E1137" s="25"/>
    </row>
    <row r="1138" spans="5:5" x14ac:dyDescent="0.15">
      <c r="E1138" s="25"/>
    </row>
    <row r="1139" spans="5:5" x14ac:dyDescent="0.15">
      <c r="E1139" s="25"/>
    </row>
    <row r="1140" spans="5:5" x14ac:dyDescent="0.15">
      <c r="E1140" s="25"/>
    </row>
    <row r="1141" spans="5:5" x14ac:dyDescent="0.15">
      <c r="E1141" s="25"/>
    </row>
    <row r="1142" spans="5:5" x14ac:dyDescent="0.15">
      <c r="E1142" s="25"/>
    </row>
    <row r="1143" spans="5:5" x14ac:dyDescent="0.15">
      <c r="E1143" s="25"/>
    </row>
    <row r="1144" spans="5:5" x14ac:dyDescent="0.15">
      <c r="E1144" s="25"/>
    </row>
    <row r="1145" spans="5:5" x14ac:dyDescent="0.15">
      <c r="E1145" s="25"/>
    </row>
    <row r="1146" spans="5:5" x14ac:dyDescent="0.15">
      <c r="E1146" s="25"/>
    </row>
    <row r="1147" spans="5:5" x14ac:dyDescent="0.15">
      <c r="E1147" s="25"/>
    </row>
    <row r="1148" spans="5:5" x14ac:dyDescent="0.15">
      <c r="E1148" s="25"/>
    </row>
    <row r="1149" spans="5:5" x14ac:dyDescent="0.15">
      <c r="E1149" s="25"/>
    </row>
    <row r="1150" spans="5:5" x14ac:dyDescent="0.15">
      <c r="E1150" s="25"/>
    </row>
    <row r="1151" spans="5:5" x14ac:dyDescent="0.15">
      <c r="E1151" s="25"/>
    </row>
    <row r="1152" spans="5:5" x14ac:dyDescent="0.15">
      <c r="E1152" s="25"/>
    </row>
    <row r="1153" spans="5:5" x14ac:dyDescent="0.15">
      <c r="E1153" s="25"/>
    </row>
    <row r="1154" spans="5:5" x14ac:dyDescent="0.15">
      <c r="E1154" s="25"/>
    </row>
    <row r="1155" spans="5:5" x14ac:dyDescent="0.15">
      <c r="E1155" s="25"/>
    </row>
    <row r="1156" spans="5:5" x14ac:dyDescent="0.15">
      <c r="E1156" s="25"/>
    </row>
    <row r="1157" spans="5:5" x14ac:dyDescent="0.15">
      <c r="E1157" s="25"/>
    </row>
    <row r="1158" spans="5:5" x14ac:dyDescent="0.15">
      <c r="E1158" s="25"/>
    </row>
    <row r="1159" spans="5:5" x14ac:dyDescent="0.15">
      <c r="E1159" s="25"/>
    </row>
    <row r="1160" spans="5:5" x14ac:dyDescent="0.15">
      <c r="E1160" s="25"/>
    </row>
    <row r="1161" spans="5:5" x14ac:dyDescent="0.15">
      <c r="E1161" s="25"/>
    </row>
    <row r="1162" spans="5:5" x14ac:dyDescent="0.15">
      <c r="E1162" s="25"/>
    </row>
    <row r="1163" spans="5:5" x14ac:dyDescent="0.15">
      <c r="E1163" s="25"/>
    </row>
    <row r="1164" spans="5:5" x14ac:dyDescent="0.15">
      <c r="E1164" s="25"/>
    </row>
    <row r="1165" spans="5:5" x14ac:dyDescent="0.15">
      <c r="E1165" s="25"/>
    </row>
    <row r="1166" spans="5:5" x14ac:dyDescent="0.15">
      <c r="E1166" s="25"/>
    </row>
    <row r="1167" spans="5:5" x14ac:dyDescent="0.15">
      <c r="E1167" s="25"/>
    </row>
    <row r="1168" spans="5:5" x14ac:dyDescent="0.15">
      <c r="E1168" s="25"/>
    </row>
    <row r="1169" spans="5:5" x14ac:dyDescent="0.15">
      <c r="E1169" s="25"/>
    </row>
    <row r="1170" spans="5:5" x14ac:dyDescent="0.15">
      <c r="E1170" s="25"/>
    </row>
    <row r="1171" spans="5:5" x14ac:dyDescent="0.15">
      <c r="E1171" s="25"/>
    </row>
    <row r="1172" spans="5:5" x14ac:dyDescent="0.15">
      <c r="E1172" s="25"/>
    </row>
    <row r="1173" spans="5:5" x14ac:dyDescent="0.15">
      <c r="E1173" s="25"/>
    </row>
    <row r="1174" spans="5:5" x14ac:dyDescent="0.15">
      <c r="E1174" s="25"/>
    </row>
    <row r="1175" spans="5:5" x14ac:dyDescent="0.15">
      <c r="E1175" s="25"/>
    </row>
    <row r="1176" spans="5:5" x14ac:dyDescent="0.15">
      <c r="E1176" s="25"/>
    </row>
    <row r="1177" spans="5:5" x14ac:dyDescent="0.15">
      <c r="E1177" s="25"/>
    </row>
    <row r="1178" spans="5:5" x14ac:dyDescent="0.15">
      <c r="E1178" s="25"/>
    </row>
    <row r="1179" spans="5:5" x14ac:dyDescent="0.15">
      <c r="E1179" s="25"/>
    </row>
    <row r="1180" spans="5:5" x14ac:dyDescent="0.15">
      <c r="E1180" s="25"/>
    </row>
    <row r="1181" spans="5:5" x14ac:dyDescent="0.15">
      <c r="E1181" s="25"/>
    </row>
    <row r="1182" spans="5:5" x14ac:dyDescent="0.15">
      <c r="E1182" s="25"/>
    </row>
    <row r="1183" spans="5:5" x14ac:dyDescent="0.15">
      <c r="E1183" s="25"/>
    </row>
    <row r="1184" spans="5:5" x14ac:dyDescent="0.15">
      <c r="E1184" s="25"/>
    </row>
    <row r="1185" spans="5:5" x14ac:dyDescent="0.15">
      <c r="E1185" s="25"/>
    </row>
    <row r="1186" spans="5:5" x14ac:dyDescent="0.15">
      <c r="E1186" s="25"/>
    </row>
    <row r="1187" spans="5:5" x14ac:dyDescent="0.15">
      <c r="E1187" s="25"/>
    </row>
    <row r="1188" spans="5:5" x14ac:dyDescent="0.15">
      <c r="E1188" s="25"/>
    </row>
    <row r="1189" spans="5:5" x14ac:dyDescent="0.15">
      <c r="E1189" s="25"/>
    </row>
    <row r="1190" spans="5:5" x14ac:dyDescent="0.15">
      <c r="E1190" s="25"/>
    </row>
    <row r="1191" spans="5:5" x14ac:dyDescent="0.15">
      <c r="E1191" s="25"/>
    </row>
    <row r="1192" spans="5:5" x14ac:dyDescent="0.15">
      <c r="E1192" s="25"/>
    </row>
    <row r="1193" spans="5:5" x14ac:dyDescent="0.15">
      <c r="E1193" s="25"/>
    </row>
    <row r="1194" spans="5:5" x14ac:dyDescent="0.15">
      <c r="E1194" s="25"/>
    </row>
    <row r="1195" spans="5:5" x14ac:dyDescent="0.15">
      <c r="E1195" s="25"/>
    </row>
    <row r="1196" spans="5:5" x14ac:dyDescent="0.15">
      <c r="E1196" s="25"/>
    </row>
    <row r="1197" spans="5:5" x14ac:dyDescent="0.15">
      <c r="E1197" s="25"/>
    </row>
    <row r="1198" spans="5:5" x14ac:dyDescent="0.15">
      <c r="E1198" s="25"/>
    </row>
    <row r="1199" spans="5:5" x14ac:dyDescent="0.15">
      <c r="E1199" s="25"/>
    </row>
    <row r="1200" spans="5:5" x14ac:dyDescent="0.15">
      <c r="E1200" s="25"/>
    </row>
    <row r="1201" spans="5:5" x14ac:dyDescent="0.15">
      <c r="E1201" s="25"/>
    </row>
    <row r="1202" spans="5:5" x14ac:dyDescent="0.15">
      <c r="E1202" s="25"/>
    </row>
    <row r="1203" spans="5:5" x14ac:dyDescent="0.15">
      <c r="E1203" s="25"/>
    </row>
    <row r="1204" spans="5:5" x14ac:dyDescent="0.15">
      <c r="E1204" s="25"/>
    </row>
    <row r="1205" spans="5:5" x14ac:dyDescent="0.15">
      <c r="E1205" s="25"/>
    </row>
    <row r="1206" spans="5:5" x14ac:dyDescent="0.15">
      <c r="E1206" s="25"/>
    </row>
    <row r="1207" spans="5:5" x14ac:dyDescent="0.15">
      <c r="E1207" s="25"/>
    </row>
    <row r="1208" spans="5:5" x14ac:dyDescent="0.15">
      <c r="E1208" s="25"/>
    </row>
    <row r="1209" spans="5:5" x14ac:dyDescent="0.15">
      <c r="E1209" s="25"/>
    </row>
    <row r="1210" spans="5:5" x14ac:dyDescent="0.15">
      <c r="E1210" s="25"/>
    </row>
    <row r="1211" spans="5:5" x14ac:dyDescent="0.15">
      <c r="E1211" s="25"/>
    </row>
    <row r="1212" spans="5:5" x14ac:dyDescent="0.15">
      <c r="E1212" s="25"/>
    </row>
    <row r="1213" spans="5:5" x14ac:dyDescent="0.15">
      <c r="E1213" s="25"/>
    </row>
    <row r="1214" spans="5:5" x14ac:dyDescent="0.15">
      <c r="E1214" s="25"/>
    </row>
    <row r="1215" spans="5:5" x14ac:dyDescent="0.15">
      <c r="E1215" s="25"/>
    </row>
    <row r="1216" spans="5:5" x14ac:dyDescent="0.15">
      <c r="E1216" s="25"/>
    </row>
    <row r="1217" spans="5:5" x14ac:dyDescent="0.15">
      <c r="E1217" s="25"/>
    </row>
    <row r="1218" spans="5:5" x14ac:dyDescent="0.15">
      <c r="E1218" s="25"/>
    </row>
    <row r="1219" spans="5:5" x14ac:dyDescent="0.15">
      <c r="E1219" s="25"/>
    </row>
    <row r="1220" spans="5:5" x14ac:dyDescent="0.15">
      <c r="E1220" s="25"/>
    </row>
    <row r="1221" spans="5:5" x14ac:dyDescent="0.15">
      <c r="E1221" s="25"/>
    </row>
    <row r="1222" spans="5:5" x14ac:dyDescent="0.15">
      <c r="E1222" s="25"/>
    </row>
    <row r="1223" spans="5:5" x14ac:dyDescent="0.15">
      <c r="E1223" s="25"/>
    </row>
    <row r="1224" spans="5:5" x14ac:dyDescent="0.15">
      <c r="E1224" s="25"/>
    </row>
    <row r="1225" spans="5:5" x14ac:dyDescent="0.15">
      <c r="E1225" s="25"/>
    </row>
    <row r="1226" spans="5:5" x14ac:dyDescent="0.15">
      <c r="E1226" s="25"/>
    </row>
    <row r="1227" spans="5:5" x14ac:dyDescent="0.15">
      <c r="E1227" s="25"/>
    </row>
    <row r="1228" spans="5:5" x14ac:dyDescent="0.15">
      <c r="E1228" s="25"/>
    </row>
    <row r="1229" spans="5:5" x14ac:dyDescent="0.15">
      <c r="E1229" s="25"/>
    </row>
    <row r="1230" spans="5:5" x14ac:dyDescent="0.15">
      <c r="E1230" s="25"/>
    </row>
    <row r="1231" spans="5:5" x14ac:dyDescent="0.15">
      <c r="E1231" s="25"/>
    </row>
    <row r="1232" spans="5:5" x14ac:dyDescent="0.15">
      <c r="E1232" s="25"/>
    </row>
    <row r="1233" spans="5:5" x14ac:dyDescent="0.15">
      <c r="E1233" s="25"/>
    </row>
    <row r="1234" spans="5:5" x14ac:dyDescent="0.15">
      <c r="E1234" s="25"/>
    </row>
    <row r="1235" spans="5:5" x14ac:dyDescent="0.15">
      <c r="E1235" s="25"/>
    </row>
    <row r="1236" spans="5:5" x14ac:dyDescent="0.15">
      <c r="E1236" s="25"/>
    </row>
    <row r="1237" spans="5:5" x14ac:dyDescent="0.15">
      <c r="E1237" s="25"/>
    </row>
    <row r="1238" spans="5:5" x14ac:dyDescent="0.15">
      <c r="E1238" s="25"/>
    </row>
    <row r="1239" spans="5:5" x14ac:dyDescent="0.15">
      <c r="E1239" s="25"/>
    </row>
    <row r="1240" spans="5:5" x14ac:dyDescent="0.15">
      <c r="E1240" s="25"/>
    </row>
    <row r="1241" spans="5:5" x14ac:dyDescent="0.15">
      <c r="E1241" s="25"/>
    </row>
    <row r="1242" spans="5:5" x14ac:dyDescent="0.15">
      <c r="E1242" s="25"/>
    </row>
    <row r="1243" spans="5:5" x14ac:dyDescent="0.15">
      <c r="E1243" s="25"/>
    </row>
    <row r="1244" spans="5:5" x14ac:dyDescent="0.15">
      <c r="E1244" s="25"/>
    </row>
    <row r="1245" spans="5:5" x14ac:dyDescent="0.15">
      <c r="E1245" s="25"/>
    </row>
    <row r="1246" spans="5:5" x14ac:dyDescent="0.15">
      <c r="E1246" s="25"/>
    </row>
    <row r="1247" spans="5:5" x14ac:dyDescent="0.15">
      <c r="E1247" s="25"/>
    </row>
    <row r="1248" spans="5:5" x14ac:dyDescent="0.15">
      <c r="E1248" s="25"/>
    </row>
    <row r="1249" spans="5:5" x14ac:dyDescent="0.15">
      <c r="E1249" s="25"/>
    </row>
    <row r="1250" spans="5:5" x14ac:dyDescent="0.15">
      <c r="E1250" s="25"/>
    </row>
    <row r="1251" spans="5:5" x14ac:dyDescent="0.15">
      <c r="E1251" s="25"/>
    </row>
    <row r="1252" spans="5:5" x14ac:dyDescent="0.15">
      <c r="E1252" s="25"/>
    </row>
    <row r="1253" spans="5:5" x14ac:dyDescent="0.15">
      <c r="E1253" s="25"/>
    </row>
    <row r="1254" spans="5:5" x14ac:dyDescent="0.15">
      <c r="E1254" s="25"/>
    </row>
    <row r="1255" spans="5:5" x14ac:dyDescent="0.15">
      <c r="E1255" s="25"/>
    </row>
    <row r="1256" spans="5:5" x14ac:dyDescent="0.15">
      <c r="E1256" s="25"/>
    </row>
    <row r="1257" spans="5:5" x14ac:dyDescent="0.15">
      <c r="E1257" s="25"/>
    </row>
    <row r="1258" spans="5:5" x14ac:dyDescent="0.15">
      <c r="E1258" s="25"/>
    </row>
    <row r="1259" spans="5:5" x14ac:dyDescent="0.15">
      <c r="E1259" s="25"/>
    </row>
    <row r="1260" spans="5:5" x14ac:dyDescent="0.15">
      <c r="E1260" s="25"/>
    </row>
    <row r="1261" spans="5:5" x14ac:dyDescent="0.15">
      <c r="E1261" s="25"/>
    </row>
    <row r="1262" spans="5:5" x14ac:dyDescent="0.15">
      <c r="E1262" s="25"/>
    </row>
    <row r="1263" spans="5:5" x14ac:dyDescent="0.15">
      <c r="E1263" s="25"/>
    </row>
    <row r="1264" spans="5:5" x14ac:dyDescent="0.15">
      <c r="E1264" s="25"/>
    </row>
    <row r="1265" spans="5:5" x14ac:dyDescent="0.15">
      <c r="E1265" s="25"/>
    </row>
    <row r="1266" spans="5:5" x14ac:dyDescent="0.15">
      <c r="E1266" s="25"/>
    </row>
    <row r="1267" spans="5:5" x14ac:dyDescent="0.15">
      <c r="E1267" s="25"/>
    </row>
    <row r="1268" spans="5:5" x14ac:dyDescent="0.15">
      <c r="E1268" s="25"/>
    </row>
    <row r="1269" spans="5:5" x14ac:dyDescent="0.15">
      <c r="E1269" s="25"/>
    </row>
    <row r="1270" spans="5:5" x14ac:dyDescent="0.15">
      <c r="E1270" s="25"/>
    </row>
    <row r="1271" spans="5:5" x14ac:dyDescent="0.15">
      <c r="E1271" s="25"/>
    </row>
    <row r="1272" spans="5:5" x14ac:dyDescent="0.15">
      <c r="E1272" s="25"/>
    </row>
    <row r="1273" spans="5:5" x14ac:dyDescent="0.15">
      <c r="E1273" s="25"/>
    </row>
    <row r="1274" spans="5:5" x14ac:dyDescent="0.15">
      <c r="E1274" s="25"/>
    </row>
    <row r="1275" spans="5:5" x14ac:dyDescent="0.15">
      <c r="E1275" s="25"/>
    </row>
    <row r="1276" spans="5:5" x14ac:dyDescent="0.15">
      <c r="E1276" s="25"/>
    </row>
    <row r="1277" spans="5:5" x14ac:dyDescent="0.15">
      <c r="E1277" s="25"/>
    </row>
    <row r="1278" spans="5:5" x14ac:dyDescent="0.15">
      <c r="E1278" s="25"/>
    </row>
    <row r="1279" spans="5:5" x14ac:dyDescent="0.15">
      <c r="E1279" s="25"/>
    </row>
    <row r="1280" spans="5:5" x14ac:dyDescent="0.15">
      <c r="E1280" s="25"/>
    </row>
    <row r="1281" spans="5:5" x14ac:dyDescent="0.15">
      <c r="E1281" s="25"/>
    </row>
    <row r="1282" spans="5:5" x14ac:dyDescent="0.15">
      <c r="E1282" s="25"/>
    </row>
    <row r="1283" spans="5:5" x14ac:dyDescent="0.15">
      <c r="E1283" s="25"/>
    </row>
    <row r="1284" spans="5:5" x14ac:dyDescent="0.15">
      <c r="E1284" s="25"/>
    </row>
    <row r="1285" spans="5:5" x14ac:dyDescent="0.15">
      <c r="E1285" s="25"/>
    </row>
    <row r="1286" spans="5:5" x14ac:dyDescent="0.15">
      <c r="E1286" s="25"/>
    </row>
    <row r="1287" spans="5:5" x14ac:dyDescent="0.15">
      <c r="E1287" s="25"/>
    </row>
    <row r="1288" spans="5:5" x14ac:dyDescent="0.15">
      <c r="E1288" s="25"/>
    </row>
    <row r="1289" spans="5:5" x14ac:dyDescent="0.15">
      <c r="E1289" s="25"/>
    </row>
    <row r="1290" spans="5:5" x14ac:dyDescent="0.15">
      <c r="E1290" s="25"/>
    </row>
    <row r="1291" spans="5:5" x14ac:dyDescent="0.15">
      <c r="E1291" s="25"/>
    </row>
    <row r="1292" spans="5:5" x14ac:dyDescent="0.15">
      <c r="E1292" s="25"/>
    </row>
    <row r="1293" spans="5:5" x14ac:dyDescent="0.15">
      <c r="E1293" s="25"/>
    </row>
    <row r="1294" spans="5:5" x14ac:dyDescent="0.15">
      <c r="E1294" s="25"/>
    </row>
    <row r="1295" spans="5:5" x14ac:dyDescent="0.15">
      <c r="E1295" s="25"/>
    </row>
    <row r="1296" spans="5:5" x14ac:dyDescent="0.15">
      <c r="E1296" s="25"/>
    </row>
    <row r="1297" spans="5:5" x14ac:dyDescent="0.15">
      <c r="E1297" s="25"/>
    </row>
    <row r="1298" spans="5:5" x14ac:dyDescent="0.15">
      <c r="E1298" s="25"/>
    </row>
    <row r="1299" spans="5:5" x14ac:dyDescent="0.15">
      <c r="E1299" s="25"/>
    </row>
    <row r="1300" spans="5:5" x14ac:dyDescent="0.15">
      <c r="E1300" s="25"/>
    </row>
    <row r="1301" spans="5:5" x14ac:dyDescent="0.15">
      <c r="E1301" s="25"/>
    </row>
    <row r="1302" spans="5:5" x14ac:dyDescent="0.15">
      <c r="E1302" s="25"/>
    </row>
    <row r="1303" spans="5:5" x14ac:dyDescent="0.15">
      <c r="E1303" s="25"/>
    </row>
    <row r="1304" spans="5:5" x14ac:dyDescent="0.15">
      <c r="E1304" s="25"/>
    </row>
    <row r="1305" spans="5:5" x14ac:dyDescent="0.15">
      <c r="E1305" s="25"/>
    </row>
    <row r="1306" spans="5:5" x14ac:dyDescent="0.15">
      <c r="E1306" s="25"/>
    </row>
    <row r="1307" spans="5:5" x14ac:dyDescent="0.15">
      <c r="E1307" s="25"/>
    </row>
    <row r="1308" spans="5:5" x14ac:dyDescent="0.15">
      <c r="E1308" s="25"/>
    </row>
    <row r="1309" spans="5:5" x14ac:dyDescent="0.15">
      <c r="E1309" s="25"/>
    </row>
    <row r="1310" spans="5:5" x14ac:dyDescent="0.15">
      <c r="E1310" s="25"/>
    </row>
    <row r="1311" spans="5:5" x14ac:dyDescent="0.15">
      <c r="E1311" s="25"/>
    </row>
    <row r="1312" spans="5:5" x14ac:dyDescent="0.15">
      <c r="E1312" s="25"/>
    </row>
    <row r="1313" spans="5:5" x14ac:dyDescent="0.15">
      <c r="E1313" s="25"/>
    </row>
    <row r="1314" spans="5:5" x14ac:dyDescent="0.15">
      <c r="E1314" s="25"/>
    </row>
    <row r="1315" spans="5:5" x14ac:dyDescent="0.15">
      <c r="E1315" s="25"/>
    </row>
    <row r="1316" spans="5:5" x14ac:dyDescent="0.15">
      <c r="E1316" s="25"/>
    </row>
    <row r="1317" spans="5:5" x14ac:dyDescent="0.15">
      <c r="E1317" s="25"/>
    </row>
    <row r="1318" spans="5:5" x14ac:dyDescent="0.15">
      <c r="E1318" s="25"/>
    </row>
    <row r="1319" spans="5:5" x14ac:dyDescent="0.15">
      <c r="E1319" s="25"/>
    </row>
    <row r="1320" spans="5:5" x14ac:dyDescent="0.15">
      <c r="E1320" s="25"/>
    </row>
    <row r="1321" spans="5:5" x14ac:dyDescent="0.15">
      <c r="E1321" s="25"/>
    </row>
    <row r="1322" spans="5:5" x14ac:dyDescent="0.15">
      <c r="E1322" s="25"/>
    </row>
    <row r="1323" spans="5:5" x14ac:dyDescent="0.15">
      <c r="E1323" s="25"/>
    </row>
    <row r="1324" spans="5:5" x14ac:dyDescent="0.15">
      <c r="E1324" s="25"/>
    </row>
    <row r="1325" spans="5:5" x14ac:dyDescent="0.15">
      <c r="E1325" s="25"/>
    </row>
    <row r="1326" spans="5:5" x14ac:dyDescent="0.15">
      <c r="E1326" s="25"/>
    </row>
    <row r="1327" spans="5:5" x14ac:dyDescent="0.15">
      <c r="E1327" s="25"/>
    </row>
    <row r="1328" spans="5:5" x14ac:dyDescent="0.15">
      <c r="E1328" s="25"/>
    </row>
    <row r="1329" spans="5:5" x14ac:dyDescent="0.15">
      <c r="E1329" s="25"/>
    </row>
    <row r="1330" spans="5:5" x14ac:dyDescent="0.15">
      <c r="E1330" s="25"/>
    </row>
    <row r="1331" spans="5:5" x14ac:dyDescent="0.15">
      <c r="E1331" s="25"/>
    </row>
    <row r="1332" spans="5:5" x14ac:dyDescent="0.15">
      <c r="E1332" s="25"/>
    </row>
    <row r="1333" spans="5:5" x14ac:dyDescent="0.15">
      <c r="E1333" s="25"/>
    </row>
    <row r="1334" spans="5:5" x14ac:dyDescent="0.15">
      <c r="E1334" s="25"/>
    </row>
    <row r="1335" spans="5:5" x14ac:dyDescent="0.15">
      <c r="E1335" s="25"/>
    </row>
    <row r="1336" spans="5:5" x14ac:dyDescent="0.15">
      <c r="E1336" s="25"/>
    </row>
    <row r="1337" spans="5:5" x14ac:dyDescent="0.15">
      <c r="E1337" s="25"/>
    </row>
    <row r="1338" spans="5:5" x14ac:dyDescent="0.15">
      <c r="E1338" s="25"/>
    </row>
    <row r="1339" spans="5:5" x14ac:dyDescent="0.15">
      <c r="E1339" s="25"/>
    </row>
    <row r="1340" spans="5:5" x14ac:dyDescent="0.15">
      <c r="E1340" s="25"/>
    </row>
    <row r="1341" spans="5:5" x14ac:dyDescent="0.15">
      <c r="E1341" s="25"/>
    </row>
    <row r="1342" spans="5:5" x14ac:dyDescent="0.15">
      <c r="E1342" s="25"/>
    </row>
    <row r="1343" spans="5:5" x14ac:dyDescent="0.15">
      <c r="E1343" s="25"/>
    </row>
    <row r="1344" spans="5:5" x14ac:dyDescent="0.15">
      <c r="E1344" s="25"/>
    </row>
    <row r="1345" spans="5:5" x14ac:dyDescent="0.15">
      <c r="E1345" s="25"/>
    </row>
    <row r="1346" spans="5:5" x14ac:dyDescent="0.15">
      <c r="E1346" s="25"/>
    </row>
    <row r="1347" spans="5:5" x14ac:dyDescent="0.15">
      <c r="E1347" s="25"/>
    </row>
    <row r="1348" spans="5:5" x14ac:dyDescent="0.15">
      <c r="E1348" s="25"/>
    </row>
    <row r="1349" spans="5:5" x14ac:dyDescent="0.15">
      <c r="E1349" s="25"/>
    </row>
    <row r="1350" spans="5:5" x14ac:dyDescent="0.15">
      <c r="E1350" s="25"/>
    </row>
    <row r="1351" spans="5:5" x14ac:dyDescent="0.15">
      <c r="E1351" s="25"/>
    </row>
    <row r="1352" spans="5:5" x14ac:dyDescent="0.15">
      <c r="E1352" s="25"/>
    </row>
    <row r="1353" spans="5:5" x14ac:dyDescent="0.15">
      <c r="E1353" s="25"/>
    </row>
    <row r="1354" spans="5:5" x14ac:dyDescent="0.15">
      <c r="E1354" s="25"/>
    </row>
    <row r="1355" spans="5:5" x14ac:dyDescent="0.15">
      <c r="E1355" s="25"/>
    </row>
    <row r="1356" spans="5:5" x14ac:dyDescent="0.15">
      <c r="E1356" s="25"/>
    </row>
    <row r="1357" spans="5:5" x14ac:dyDescent="0.15">
      <c r="E1357" s="25"/>
    </row>
    <row r="1358" spans="5:5" x14ac:dyDescent="0.15">
      <c r="E1358" s="25"/>
    </row>
    <row r="1359" spans="5:5" x14ac:dyDescent="0.15">
      <c r="E1359" s="25"/>
    </row>
    <row r="1360" spans="5:5" x14ac:dyDescent="0.15">
      <c r="E1360" s="25"/>
    </row>
    <row r="1361" spans="5:5" x14ac:dyDescent="0.15">
      <c r="E1361" s="25"/>
    </row>
    <row r="1362" spans="5:5" x14ac:dyDescent="0.15">
      <c r="E1362" s="25"/>
    </row>
    <row r="1363" spans="5:5" x14ac:dyDescent="0.15">
      <c r="E1363" s="25"/>
    </row>
    <row r="1364" spans="5:5" x14ac:dyDescent="0.15">
      <c r="E1364" s="25"/>
    </row>
    <row r="1365" spans="5:5" x14ac:dyDescent="0.15">
      <c r="E1365" s="25"/>
    </row>
    <row r="1366" spans="5:5" x14ac:dyDescent="0.15">
      <c r="E1366" s="25"/>
    </row>
    <row r="1367" spans="5:5" x14ac:dyDescent="0.15">
      <c r="E1367" s="25"/>
    </row>
    <row r="1368" spans="5:5" x14ac:dyDescent="0.15">
      <c r="E1368" s="25"/>
    </row>
    <row r="1369" spans="5:5" x14ac:dyDescent="0.15">
      <c r="E1369" s="25"/>
    </row>
    <row r="1370" spans="5:5" x14ac:dyDescent="0.15">
      <c r="E1370" s="25"/>
    </row>
    <row r="1371" spans="5:5" x14ac:dyDescent="0.15">
      <c r="E1371" s="25"/>
    </row>
    <row r="1372" spans="5:5" x14ac:dyDescent="0.15">
      <c r="E1372" s="25"/>
    </row>
    <row r="1373" spans="5:5" x14ac:dyDescent="0.15">
      <c r="E1373" s="25"/>
    </row>
    <row r="1374" spans="5:5" x14ac:dyDescent="0.15">
      <c r="E1374" s="25"/>
    </row>
    <row r="1375" spans="5:5" x14ac:dyDescent="0.15">
      <c r="E1375" s="25"/>
    </row>
    <row r="1376" spans="5:5" x14ac:dyDescent="0.15">
      <c r="E1376" s="25"/>
    </row>
    <row r="1377" spans="5:5" x14ac:dyDescent="0.15">
      <c r="E1377" s="25"/>
    </row>
    <row r="1378" spans="5:5" x14ac:dyDescent="0.15">
      <c r="E1378" s="25"/>
    </row>
    <row r="1379" spans="5:5" x14ac:dyDescent="0.15">
      <c r="E1379" s="25"/>
    </row>
    <row r="1380" spans="5:5" x14ac:dyDescent="0.15">
      <c r="E1380" s="25"/>
    </row>
    <row r="1381" spans="5:5" x14ac:dyDescent="0.15">
      <c r="E1381" s="25"/>
    </row>
    <row r="1382" spans="5:5" x14ac:dyDescent="0.15">
      <c r="E1382" s="25"/>
    </row>
    <row r="1383" spans="5:5" x14ac:dyDescent="0.15">
      <c r="E1383" s="25"/>
    </row>
    <row r="1384" spans="5:5" x14ac:dyDescent="0.15">
      <c r="E1384" s="25"/>
    </row>
    <row r="1385" spans="5:5" x14ac:dyDescent="0.15">
      <c r="E1385" s="25"/>
    </row>
    <row r="1386" spans="5:5" x14ac:dyDescent="0.15">
      <c r="E1386" s="25"/>
    </row>
    <row r="1387" spans="5:5" x14ac:dyDescent="0.15">
      <c r="E1387" s="25"/>
    </row>
    <row r="1388" spans="5:5" x14ac:dyDescent="0.15">
      <c r="E1388" s="25"/>
    </row>
    <row r="1389" spans="5:5" x14ac:dyDescent="0.15">
      <c r="E1389" s="25"/>
    </row>
    <row r="1390" spans="5:5" x14ac:dyDescent="0.15">
      <c r="E1390" s="25"/>
    </row>
    <row r="1391" spans="5:5" x14ac:dyDescent="0.15">
      <c r="E1391" s="25"/>
    </row>
    <row r="1392" spans="5:5" x14ac:dyDescent="0.15">
      <c r="E1392" s="25"/>
    </row>
    <row r="1393" spans="5:5" x14ac:dyDescent="0.15">
      <c r="E1393" s="25"/>
    </row>
    <row r="1394" spans="5:5" x14ac:dyDescent="0.15">
      <c r="E1394" s="25"/>
    </row>
    <row r="1395" spans="5:5" x14ac:dyDescent="0.15">
      <c r="E1395" s="25"/>
    </row>
    <row r="1396" spans="5:5" x14ac:dyDescent="0.15">
      <c r="E1396" s="25"/>
    </row>
    <row r="1397" spans="5:5" x14ac:dyDescent="0.15">
      <c r="E1397" s="25"/>
    </row>
    <row r="1398" spans="5:5" x14ac:dyDescent="0.15">
      <c r="E1398" s="25"/>
    </row>
    <row r="1399" spans="5:5" x14ac:dyDescent="0.15">
      <c r="E1399" s="25"/>
    </row>
    <row r="1400" spans="5:5" x14ac:dyDescent="0.15">
      <c r="E1400" s="25"/>
    </row>
    <row r="1401" spans="5:5" x14ac:dyDescent="0.15">
      <c r="E1401" s="25"/>
    </row>
    <row r="1402" spans="5:5" x14ac:dyDescent="0.15">
      <c r="E1402" s="25"/>
    </row>
    <row r="1403" spans="5:5" x14ac:dyDescent="0.15">
      <c r="E1403" s="25"/>
    </row>
    <row r="1404" spans="5:5" x14ac:dyDescent="0.15">
      <c r="E1404" s="25"/>
    </row>
    <row r="1405" spans="5:5" x14ac:dyDescent="0.15">
      <c r="E1405" s="25"/>
    </row>
    <row r="1406" spans="5:5" x14ac:dyDescent="0.15">
      <c r="E1406" s="25"/>
    </row>
    <row r="1407" spans="5:5" x14ac:dyDescent="0.15">
      <c r="E1407" s="25"/>
    </row>
    <row r="1408" spans="5:5" x14ac:dyDescent="0.15">
      <c r="E1408" s="25"/>
    </row>
    <row r="1409" spans="5:5" x14ac:dyDescent="0.15">
      <c r="E1409" s="25"/>
    </row>
    <row r="1410" spans="5:5" x14ac:dyDescent="0.15">
      <c r="E1410" s="25"/>
    </row>
    <row r="1411" spans="5:5" x14ac:dyDescent="0.15">
      <c r="E1411" s="25"/>
    </row>
    <row r="1412" spans="5:5" x14ac:dyDescent="0.15">
      <c r="E1412" s="25"/>
    </row>
    <row r="1413" spans="5:5" x14ac:dyDescent="0.15">
      <c r="E1413" s="25"/>
    </row>
    <row r="1414" spans="5:5" x14ac:dyDescent="0.15">
      <c r="E1414" s="25"/>
    </row>
    <row r="1415" spans="5:5" x14ac:dyDescent="0.15">
      <c r="E1415" s="25"/>
    </row>
    <row r="1416" spans="5:5" x14ac:dyDescent="0.15">
      <c r="E1416" s="25"/>
    </row>
    <row r="1417" spans="5:5" x14ac:dyDescent="0.15">
      <c r="E1417" s="25"/>
    </row>
    <row r="1418" spans="5:5" x14ac:dyDescent="0.15">
      <c r="E1418" s="25"/>
    </row>
    <row r="1419" spans="5:5" x14ac:dyDescent="0.15">
      <c r="E1419" s="25"/>
    </row>
    <row r="1420" spans="5:5" x14ac:dyDescent="0.15">
      <c r="E1420" s="25"/>
    </row>
    <row r="1421" spans="5:5" x14ac:dyDescent="0.15">
      <c r="E1421" s="25"/>
    </row>
    <row r="1422" spans="5:5" x14ac:dyDescent="0.15">
      <c r="E1422" s="25"/>
    </row>
    <row r="1423" spans="5:5" x14ac:dyDescent="0.15">
      <c r="E1423" s="25"/>
    </row>
    <row r="1424" spans="5:5" x14ac:dyDescent="0.15">
      <c r="E1424" s="25"/>
    </row>
    <row r="1425" spans="5:5" x14ac:dyDescent="0.15">
      <c r="E1425" s="25"/>
    </row>
    <row r="1426" spans="5:5" x14ac:dyDescent="0.15">
      <c r="E1426" s="25"/>
    </row>
    <row r="1427" spans="5:5" x14ac:dyDescent="0.15">
      <c r="E1427" s="25"/>
    </row>
    <row r="1428" spans="5:5" x14ac:dyDescent="0.15">
      <c r="E1428" s="25"/>
    </row>
    <row r="1429" spans="5:5" x14ac:dyDescent="0.15">
      <c r="E1429" s="25"/>
    </row>
    <row r="1430" spans="5:5" x14ac:dyDescent="0.15">
      <c r="E1430" s="25"/>
    </row>
    <row r="1431" spans="5:5" x14ac:dyDescent="0.15">
      <c r="E1431" s="25"/>
    </row>
    <row r="1432" spans="5:5" x14ac:dyDescent="0.15">
      <c r="E1432" s="25"/>
    </row>
    <row r="1433" spans="5:5" x14ac:dyDescent="0.15">
      <c r="E1433" s="25"/>
    </row>
    <row r="1434" spans="5:5" x14ac:dyDescent="0.15">
      <c r="E1434" s="25"/>
    </row>
    <row r="1435" spans="5:5" x14ac:dyDescent="0.15">
      <c r="E1435" s="25"/>
    </row>
    <row r="1436" spans="5:5" x14ac:dyDescent="0.15">
      <c r="E1436" s="25"/>
    </row>
    <row r="1437" spans="5:5" x14ac:dyDescent="0.15">
      <c r="E1437" s="25"/>
    </row>
    <row r="1438" spans="5:5" x14ac:dyDescent="0.15">
      <c r="E1438" s="25"/>
    </row>
    <row r="1439" spans="5:5" x14ac:dyDescent="0.15">
      <c r="E1439" s="25"/>
    </row>
    <row r="1440" spans="5:5" x14ac:dyDescent="0.15">
      <c r="E1440" s="25"/>
    </row>
    <row r="1441" spans="5:5" x14ac:dyDescent="0.15">
      <c r="E1441" s="25"/>
    </row>
    <row r="1442" spans="5:5" x14ac:dyDescent="0.15">
      <c r="E1442" s="25"/>
    </row>
    <row r="1443" spans="5:5" x14ac:dyDescent="0.15">
      <c r="E1443" s="25"/>
    </row>
    <row r="1444" spans="5:5" x14ac:dyDescent="0.15">
      <c r="E1444" s="25"/>
    </row>
    <row r="1445" spans="5:5" x14ac:dyDescent="0.15">
      <c r="E1445" s="25"/>
    </row>
    <row r="1446" spans="5:5" x14ac:dyDescent="0.15">
      <c r="E1446" s="25"/>
    </row>
    <row r="1447" spans="5:5" x14ac:dyDescent="0.15">
      <c r="E1447" s="25"/>
    </row>
    <row r="1448" spans="5:5" x14ac:dyDescent="0.15">
      <c r="E1448" s="25"/>
    </row>
    <row r="1449" spans="5:5" x14ac:dyDescent="0.15">
      <c r="E1449" s="25"/>
    </row>
    <row r="1450" spans="5:5" x14ac:dyDescent="0.15">
      <c r="E1450" s="25"/>
    </row>
    <row r="1451" spans="5:5" x14ac:dyDescent="0.15">
      <c r="E1451" s="25"/>
    </row>
    <row r="1452" spans="5:5" x14ac:dyDescent="0.15">
      <c r="E1452" s="25"/>
    </row>
    <row r="1453" spans="5:5" x14ac:dyDescent="0.15">
      <c r="E1453" s="25"/>
    </row>
    <row r="1454" spans="5:5" x14ac:dyDescent="0.15">
      <c r="E1454" s="25"/>
    </row>
    <row r="1455" spans="5:5" x14ac:dyDescent="0.15">
      <c r="E1455" s="25"/>
    </row>
    <row r="1456" spans="5:5" x14ac:dyDescent="0.15">
      <c r="E1456" s="25"/>
    </row>
    <row r="1457" spans="5:5" x14ac:dyDescent="0.15">
      <c r="E1457" s="25"/>
    </row>
    <row r="1458" spans="5:5" x14ac:dyDescent="0.15">
      <c r="E1458" s="25"/>
    </row>
    <row r="1459" spans="5:5" x14ac:dyDescent="0.15">
      <c r="E1459" s="25"/>
    </row>
    <row r="1460" spans="5:5" x14ac:dyDescent="0.15">
      <c r="E1460" s="25"/>
    </row>
    <row r="1461" spans="5:5" x14ac:dyDescent="0.15">
      <c r="E1461" s="25"/>
    </row>
    <row r="1462" spans="5:5" x14ac:dyDescent="0.15">
      <c r="E1462" s="25"/>
    </row>
    <row r="1463" spans="5:5" x14ac:dyDescent="0.15">
      <c r="E1463" s="25"/>
    </row>
    <row r="1464" spans="5:5" x14ac:dyDescent="0.15">
      <c r="E1464" s="25"/>
    </row>
    <row r="1465" spans="5:5" x14ac:dyDescent="0.15">
      <c r="E1465" s="25"/>
    </row>
    <row r="1466" spans="5:5" x14ac:dyDescent="0.15">
      <c r="E1466" s="25"/>
    </row>
    <row r="1467" spans="5:5" x14ac:dyDescent="0.15">
      <c r="E1467" s="25"/>
    </row>
    <row r="1468" spans="5:5" x14ac:dyDescent="0.15">
      <c r="E1468" s="25"/>
    </row>
    <row r="1469" spans="5:5" x14ac:dyDescent="0.15">
      <c r="E1469" s="25"/>
    </row>
    <row r="1470" spans="5:5" x14ac:dyDescent="0.15">
      <c r="E1470" s="25"/>
    </row>
    <row r="1471" spans="5:5" x14ac:dyDescent="0.15">
      <c r="E1471" s="25"/>
    </row>
    <row r="1472" spans="5:5" x14ac:dyDescent="0.15">
      <c r="E1472" s="25"/>
    </row>
    <row r="1473" spans="5:5" x14ac:dyDescent="0.15">
      <c r="E1473" s="25"/>
    </row>
    <row r="1474" spans="5:5" x14ac:dyDescent="0.15">
      <c r="E1474" s="25"/>
    </row>
    <row r="1475" spans="5:5" x14ac:dyDescent="0.15">
      <c r="E1475" s="25"/>
    </row>
    <row r="1476" spans="5:5" x14ac:dyDescent="0.15">
      <c r="E1476" s="25"/>
    </row>
    <row r="1477" spans="5:5" x14ac:dyDescent="0.15">
      <c r="E1477" s="25"/>
    </row>
    <row r="1478" spans="5:5" x14ac:dyDescent="0.15">
      <c r="E1478" s="25"/>
    </row>
    <row r="1479" spans="5:5" x14ac:dyDescent="0.15">
      <c r="E1479" s="25"/>
    </row>
    <row r="1480" spans="5:5" x14ac:dyDescent="0.15">
      <c r="E1480" s="25"/>
    </row>
    <row r="1481" spans="5:5" x14ac:dyDescent="0.15">
      <c r="E1481" s="25"/>
    </row>
    <row r="1482" spans="5:5" x14ac:dyDescent="0.15">
      <c r="E1482" s="25"/>
    </row>
    <row r="1483" spans="5:5" x14ac:dyDescent="0.15">
      <c r="E1483" s="25"/>
    </row>
    <row r="1484" spans="5:5" x14ac:dyDescent="0.15">
      <c r="E1484" s="25"/>
    </row>
    <row r="1485" spans="5:5" x14ac:dyDescent="0.15">
      <c r="E1485" s="25"/>
    </row>
    <row r="1486" spans="5:5" x14ac:dyDescent="0.15">
      <c r="E1486" s="25"/>
    </row>
    <row r="1487" spans="5:5" x14ac:dyDescent="0.15">
      <c r="E1487" s="25"/>
    </row>
    <row r="1488" spans="5:5" x14ac:dyDescent="0.15">
      <c r="E1488" s="25"/>
    </row>
    <row r="1489" spans="5:5" x14ac:dyDescent="0.15">
      <c r="E1489" s="25"/>
    </row>
    <row r="1490" spans="5:5" x14ac:dyDescent="0.15">
      <c r="E1490" s="25"/>
    </row>
    <row r="1491" spans="5:5" x14ac:dyDescent="0.15">
      <c r="E1491" s="25"/>
    </row>
    <row r="1492" spans="5:5" x14ac:dyDescent="0.15">
      <c r="E1492" s="25"/>
    </row>
    <row r="1493" spans="5:5" x14ac:dyDescent="0.15">
      <c r="E1493" s="25"/>
    </row>
    <row r="1494" spans="5:5" x14ac:dyDescent="0.15">
      <c r="E1494" s="25"/>
    </row>
    <row r="1495" spans="5:5" x14ac:dyDescent="0.15">
      <c r="E1495" s="25"/>
    </row>
    <row r="1496" spans="5:5" x14ac:dyDescent="0.15">
      <c r="E1496" s="25"/>
    </row>
    <row r="1497" spans="5:5" x14ac:dyDescent="0.15">
      <c r="E1497" s="25"/>
    </row>
    <row r="1498" spans="5:5" x14ac:dyDescent="0.15">
      <c r="E1498" s="25"/>
    </row>
    <row r="1499" spans="5:5" x14ac:dyDescent="0.15">
      <c r="E1499" s="25"/>
    </row>
    <row r="1500" spans="5:5" x14ac:dyDescent="0.15">
      <c r="E1500" s="25"/>
    </row>
    <row r="1501" spans="5:5" x14ac:dyDescent="0.15">
      <c r="E1501" s="25"/>
    </row>
    <row r="1502" spans="5:5" x14ac:dyDescent="0.15">
      <c r="E1502" s="25"/>
    </row>
    <row r="1503" spans="5:5" x14ac:dyDescent="0.15">
      <c r="E1503" s="25"/>
    </row>
    <row r="1504" spans="5:5" x14ac:dyDescent="0.15">
      <c r="E1504" s="25"/>
    </row>
    <row r="1505" spans="5:5" x14ac:dyDescent="0.15">
      <c r="E1505" s="25"/>
    </row>
    <row r="1506" spans="5:5" x14ac:dyDescent="0.15">
      <c r="E1506" s="25"/>
    </row>
    <row r="1507" spans="5:5" x14ac:dyDescent="0.15">
      <c r="E1507" s="25"/>
    </row>
    <row r="1508" spans="5:5" x14ac:dyDescent="0.15">
      <c r="E1508" s="25"/>
    </row>
    <row r="1509" spans="5:5" x14ac:dyDescent="0.15">
      <c r="E1509" s="25"/>
    </row>
    <row r="1510" spans="5:5" x14ac:dyDescent="0.15">
      <c r="E1510" s="25"/>
    </row>
    <row r="1511" spans="5:5" x14ac:dyDescent="0.15">
      <c r="E1511" s="25"/>
    </row>
    <row r="1512" spans="5:5" x14ac:dyDescent="0.15">
      <c r="E1512" s="25"/>
    </row>
    <row r="1513" spans="5:5" x14ac:dyDescent="0.15">
      <c r="E1513" s="25"/>
    </row>
    <row r="1514" spans="5:5" x14ac:dyDescent="0.15">
      <c r="E1514" s="25"/>
    </row>
    <row r="1515" spans="5:5" x14ac:dyDescent="0.15">
      <c r="E1515" s="25"/>
    </row>
    <row r="1516" spans="5:5" x14ac:dyDescent="0.15">
      <c r="E1516" s="25"/>
    </row>
    <row r="1517" spans="5:5" x14ac:dyDescent="0.15">
      <c r="E1517" s="25"/>
    </row>
    <row r="1518" spans="5:5" x14ac:dyDescent="0.15">
      <c r="E1518" s="25"/>
    </row>
    <row r="1519" spans="5:5" x14ac:dyDescent="0.15">
      <c r="E1519" s="25"/>
    </row>
    <row r="1520" spans="5:5" x14ac:dyDescent="0.15">
      <c r="E1520" s="25"/>
    </row>
    <row r="1521" spans="5:5" x14ac:dyDescent="0.15">
      <c r="E1521" s="25"/>
    </row>
    <row r="1522" spans="5:5" x14ac:dyDescent="0.15">
      <c r="E1522" s="25"/>
    </row>
    <row r="1523" spans="5:5" x14ac:dyDescent="0.15">
      <c r="E1523" s="25"/>
    </row>
    <row r="1524" spans="5:5" x14ac:dyDescent="0.15">
      <c r="E1524" s="25"/>
    </row>
    <row r="1525" spans="5:5" x14ac:dyDescent="0.15">
      <c r="E1525" s="25"/>
    </row>
    <row r="1526" spans="5:5" x14ac:dyDescent="0.15">
      <c r="E1526" s="25"/>
    </row>
    <row r="1527" spans="5:5" x14ac:dyDescent="0.15">
      <c r="E1527" s="25"/>
    </row>
    <row r="1528" spans="5:5" x14ac:dyDescent="0.15">
      <c r="E1528" s="25"/>
    </row>
    <row r="1529" spans="5:5" x14ac:dyDescent="0.15">
      <c r="E1529" s="25"/>
    </row>
    <row r="1530" spans="5:5" x14ac:dyDescent="0.15">
      <c r="E1530" s="25"/>
    </row>
    <row r="1531" spans="5:5" x14ac:dyDescent="0.15">
      <c r="E1531" s="25"/>
    </row>
    <row r="1532" spans="5:5" x14ac:dyDescent="0.15">
      <c r="E1532" s="25"/>
    </row>
    <row r="1533" spans="5:5" x14ac:dyDescent="0.15">
      <c r="E1533" s="25"/>
    </row>
    <row r="1534" spans="5:5" x14ac:dyDescent="0.15">
      <c r="E1534" s="25"/>
    </row>
    <row r="1535" spans="5:5" x14ac:dyDescent="0.15">
      <c r="E1535" s="25"/>
    </row>
    <row r="1536" spans="5:5" x14ac:dyDescent="0.15">
      <c r="E1536" s="25"/>
    </row>
    <row r="1537" spans="5:5" x14ac:dyDescent="0.15">
      <c r="E1537" s="25"/>
    </row>
    <row r="1538" spans="5:5" x14ac:dyDescent="0.15">
      <c r="E1538" s="25"/>
    </row>
    <row r="1539" spans="5:5" x14ac:dyDescent="0.15">
      <c r="E1539" s="25"/>
    </row>
    <row r="1540" spans="5:5" x14ac:dyDescent="0.15">
      <c r="E1540" s="25"/>
    </row>
    <row r="1541" spans="5:5" x14ac:dyDescent="0.15">
      <c r="E1541" s="25"/>
    </row>
    <row r="1542" spans="5:5" x14ac:dyDescent="0.15">
      <c r="E1542" s="25"/>
    </row>
    <row r="1543" spans="5:5" x14ac:dyDescent="0.15">
      <c r="E1543" s="25"/>
    </row>
    <row r="1544" spans="5:5" x14ac:dyDescent="0.15">
      <c r="E1544" s="25"/>
    </row>
    <row r="1545" spans="5:5" x14ac:dyDescent="0.15">
      <c r="E1545" s="25"/>
    </row>
    <row r="1546" spans="5:5" x14ac:dyDescent="0.15">
      <c r="E1546" s="25"/>
    </row>
    <row r="1547" spans="5:5" x14ac:dyDescent="0.15">
      <c r="E1547" s="25"/>
    </row>
    <row r="1548" spans="5:5" x14ac:dyDescent="0.15">
      <c r="E1548" s="25"/>
    </row>
    <row r="1549" spans="5:5" x14ac:dyDescent="0.15">
      <c r="E1549" s="25"/>
    </row>
    <row r="1550" spans="5:5" x14ac:dyDescent="0.15">
      <c r="E1550" s="25"/>
    </row>
    <row r="1551" spans="5:5" x14ac:dyDescent="0.15">
      <c r="E1551" s="25"/>
    </row>
    <row r="1552" spans="5:5" x14ac:dyDescent="0.15">
      <c r="E1552" s="25"/>
    </row>
    <row r="1553" spans="5:5" x14ac:dyDescent="0.15">
      <c r="E1553" s="25"/>
    </row>
    <row r="1554" spans="5:5" x14ac:dyDescent="0.15">
      <c r="E1554" s="25"/>
    </row>
    <row r="1555" spans="5:5" x14ac:dyDescent="0.15">
      <c r="E1555" s="25"/>
    </row>
    <row r="1556" spans="5:5" x14ac:dyDescent="0.15">
      <c r="E1556" s="25"/>
    </row>
    <row r="1557" spans="5:5" x14ac:dyDescent="0.15">
      <c r="E1557" s="25"/>
    </row>
    <row r="1558" spans="5:5" x14ac:dyDescent="0.15">
      <c r="E1558" s="25"/>
    </row>
    <row r="1559" spans="5:5" x14ac:dyDescent="0.15">
      <c r="E1559" s="25"/>
    </row>
    <row r="1560" spans="5:5" x14ac:dyDescent="0.15">
      <c r="E1560" s="25"/>
    </row>
    <row r="1561" spans="5:5" x14ac:dyDescent="0.15">
      <c r="E1561" s="25"/>
    </row>
    <row r="1562" spans="5:5" x14ac:dyDescent="0.15">
      <c r="E1562" s="25"/>
    </row>
    <row r="1563" spans="5:5" x14ac:dyDescent="0.15">
      <c r="E1563" s="25"/>
    </row>
    <row r="1564" spans="5:5" x14ac:dyDescent="0.15">
      <c r="E1564" s="25"/>
    </row>
    <row r="1565" spans="5:5" x14ac:dyDescent="0.15">
      <c r="E1565" s="25"/>
    </row>
    <row r="1566" spans="5:5" x14ac:dyDescent="0.15">
      <c r="E1566" s="25"/>
    </row>
    <row r="1567" spans="5:5" x14ac:dyDescent="0.15">
      <c r="E1567" s="25"/>
    </row>
    <row r="1568" spans="5:5" x14ac:dyDescent="0.15">
      <c r="E1568" s="25"/>
    </row>
    <row r="1569" spans="5:5" x14ac:dyDescent="0.15">
      <c r="E1569" s="25"/>
    </row>
    <row r="1570" spans="5:5" x14ac:dyDescent="0.15">
      <c r="E1570" s="25"/>
    </row>
    <row r="1571" spans="5:5" x14ac:dyDescent="0.15">
      <c r="E1571" s="25"/>
    </row>
    <row r="1572" spans="5:5" x14ac:dyDescent="0.15">
      <c r="E1572" s="25"/>
    </row>
    <row r="1573" spans="5:5" x14ac:dyDescent="0.15">
      <c r="E1573" s="25"/>
    </row>
    <row r="1574" spans="5:5" x14ac:dyDescent="0.15">
      <c r="E1574" s="25"/>
    </row>
    <row r="1575" spans="5:5" x14ac:dyDescent="0.15">
      <c r="E1575" s="25"/>
    </row>
    <row r="1576" spans="5:5" x14ac:dyDescent="0.15">
      <c r="E1576" s="25"/>
    </row>
    <row r="1577" spans="5:5" x14ac:dyDescent="0.15">
      <c r="E1577" s="25"/>
    </row>
    <row r="1578" spans="5:5" x14ac:dyDescent="0.15">
      <c r="E1578" s="25"/>
    </row>
    <row r="1579" spans="5:5" x14ac:dyDescent="0.15">
      <c r="E1579" s="25"/>
    </row>
    <row r="1580" spans="5:5" x14ac:dyDescent="0.15">
      <c r="E1580" s="25"/>
    </row>
    <row r="1581" spans="5:5" x14ac:dyDescent="0.15">
      <c r="E1581" s="25"/>
    </row>
    <row r="1582" spans="5:5" x14ac:dyDescent="0.15">
      <c r="E1582" s="25"/>
    </row>
    <row r="1583" spans="5:5" x14ac:dyDescent="0.15">
      <c r="E1583" s="25"/>
    </row>
    <row r="1584" spans="5:5" x14ac:dyDescent="0.15">
      <c r="E1584" s="25"/>
    </row>
    <row r="1585" spans="5:5" x14ac:dyDescent="0.15">
      <c r="E1585" s="25"/>
    </row>
    <row r="1586" spans="5:5" x14ac:dyDescent="0.15">
      <c r="E1586" s="25"/>
    </row>
    <row r="1587" spans="5:5" x14ac:dyDescent="0.15">
      <c r="E1587" s="25"/>
    </row>
    <row r="1588" spans="5:5" x14ac:dyDescent="0.15">
      <c r="E1588" s="25"/>
    </row>
    <row r="1589" spans="5:5" x14ac:dyDescent="0.15">
      <c r="E1589" s="25"/>
    </row>
    <row r="1590" spans="5:5" x14ac:dyDescent="0.15">
      <c r="E1590" s="25"/>
    </row>
    <row r="1591" spans="5:5" x14ac:dyDescent="0.15">
      <c r="E1591" s="25"/>
    </row>
    <row r="1592" spans="5:5" x14ac:dyDescent="0.15">
      <c r="E1592" s="25"/>
    </row>
    <row r="1593" spans="5:5" x14ac:dyDescent="0.15">
      <c r="E1593" s="25"/>
    </row>
    <row r="1594" spans="5:5" x14ac:dyDescent="0.15">
      <c r="E1594" s="25"/>
    </row>
    <row r="1595" spans="5:5" x14ac:dyDescent="0.15">
      <c r="E1595" s="25"/>
    </row>
    <row r="1596" spans="5:5" x14ac:dyDescent="0.15">
      <c r="E1596" s="25"/>
    </row>
    <row r="1597" spans="5:5" x14ac:dyDescent="0.15">
      <c r="E1597" s="25"/>
    </row>
    <row r="1598" spans="5:5" x14ac:dyDescent="0.15">
      <c r="E1598" s="25"/>
    </row>
    <row r="1599" spans="5:5" x14ac:dyDescent="0.15">
      <c r="E1599" s="25"/>
    </row>
    <row r="1600" spans="5:5" x14ac:dyDescent="0.15">
      <c r="E1600" s="25"/>
    </row>
    <row r="1601" spans="5:5" x14ac:dyDescent="0.15">
      <c r="E1601" s="25"/>
    </row>
    <row r="1602" spans="5:5" x14ac:dyDescent="0.15">
      <c r="E1602" s="25"/>
    </row>
    <row r="1603" spans="5:5" x14ac:dyDescent="0.15">
      <c r="E1603" s="25"/>
    </row>
    <row r="1604" spans="5:5" x14ac:dyDescent="0.15">
      <c r="E1604" s="25"/>
    </row>
    <row r="1605" spans="5:5" x14ac:dyDescent="0.15">
      <c r="E1605" s="25"/>
    </row>
    <row r="1606" spans="5:5" x14ac:dyDescent="0.15">
      <c r="E1606" s="25"/>
    </row>
    <row r="1607" spans="5:5" x14ac:dyDescent="0.15">
      <c r="E1607" s="25"/>
    </row>
    <row r="1608" spans="5:5" x14ac:dyDescent="0.15">
      <c r="E1608" s="25"/>
    </row>
    <row r="1609" spans="5:5" x14ac:dyDescent="0.15">
      <c r="E1609" s="25"/>
    </row>
    <row r="1610" spans="5:5" x14ac:dyDescent="0.15">
      <c r="E1610" s="25"/>
    </row>
    <row r="1611" spans="5:5" x14ac:dyDescent="0.15">
      <c r="E1611" s="25"/>
    </row>
    <row r="1612" spans="5:5" x14ac:dyDescent="0.15">
      <c r="E1612" s="25"/>
    </row>
    <row r="1613" spans="5:5" x14ac:dyDescent="0.15">
      <c r="E1613" s="25"/>
    </row>
    <row r="1614" spans="5:5" x14ac:dyDescent="0.15">
      <c r="E1614" s="25"/>
    </row>
    <row r="1615" spans="5:5" x14ac:dyDescent="0.15">
      <c r="E1615" s="25"/>
    </row>
    <row r="1616" spans="5:5" x14ac:dyDescent="0.15">
      <c r="E1616" s="25"/>
    </row>
    <row r="1617" spans="5:5" x14ac:dyDescent="0.15">
      <c r="E1617" s="25"/>
    </row>
    <row r="1618" spans="5:5" x14ac:dyDescent="0.15">
      <c r="E1618" s="25"/>
    </row>
    <row r="1619" spans="5:5" x14ac:dyDescent="0.15">
      <c r="E1619" s="25"/>
    </row>
    <row r="1620" spans="5:5" x14ac:dyDescent="0.15">
      <c r="E1620" s="25"/>
    </row>
    <row r="1621" spans="5:5" x14ac:dyDescent="0.15">
      <c r="E1621" s="25"/>
    </row>
    <row r="1622" spans="5:5" x14ac:dyDescent="0.15">
      <c r="E1622" s="25"/>
    </row>
    <row r="1623" spans="5:5" x14ac:dyDescent="0.15">
      <c r="E1623" s="25"/>
    </row>
    <row r="1624" spans="5:5" x14ac:dyDescent="0.15">
      <c r="E1624" s="25"/>
    </row>
    <row r="1625" spans="5:5" x14ac:dyDescent="0.15">
      <c r="E1625" s="25"/>
    </row>
    <row r="1626" spans="5:5" x14ac:dyDescent="0.15">
      <c r="E1626" s="25"/>
    </row>
    <row r="1627" spans="5:5" x14ac:dyDescent="0.15">
      <c r="E1627" s="25"/>
    </row>
    <row r="1628" spans="5:5" x14ac:dyDescent="0.15">
      <c r="E1628" s="25"/>
    </row>
    <row r="1629" spans="5:5" x14ac:dyDescent="0.15">
      <c r="E1629" s="25"/>
    </row>
    <row r="1630" spans="5:5" x14ac:dyDescent="0.15">
      <c r="E1630" s="25"/>
    </row>
    <row r="1631" spans="5:5" x14ac:dyDescent="0.15">
      <c r="E1631" s="25"/>
    </row>
    <row r="1632" spans="5:5" x14ac:dyDescent="0.15">
      <c r="E1632" s="25"/>
    </row>
    <row r="1633" spans="5:5" x14ac:dyDescent="0.15">
      <c r="E1633" s="25"/>
    </row>
    <row r="1634" spans="5:5" x14ac:dyDescent="0.15">
      <c r="E1634" s="25"/>
    </row>
    <row r="1635" spans="5:5" x14ac:dyDescent="0.15">
      <c r="E1635" s="25"/>
    </row>
    <row r="1636" spans="5:5" x14ac:dyDescent="0.15">
      <c r="E1636" s="25"/>
    </row>
    <row r="1637" spans="5:5" x14ac:dyDescent="0.15">
      <c r="E1637" s="25"/>
    </row>
    <row r="1638" spans="5:5" x14ac:dyDescent="0.15">
      <c r="E1638" s="25"/>
    </row>
    <row r="1639" spans="5:5" x14ac:dyDescent="0.15">
      <c r="E1639" s="25"/>
    </row>
    <row r="1640" spans="5:5" x14ac:dyDescent="0.15">
      <c r="E1640" s="25"/>
    </row>
    <row r="1641" spans="5:5" x14ac:dyDescent="0.15">
      <c r="E1641" s="25"/>
    </row>
    <row r="1642" spans="5:5" x14ac:dyDescent="0.15">
      <c r="E1642" s="25"/>
    </row>
    <row r="1643" spans="5:5" x14ac:dyDescent="0.15">
      <c r="E1643" s="25"/>
    </row>
    <row r="1644" spans="5:5" x14ac:dyDescent="0.15">
      <c r="E1644" s="25"/>
    </row>
    <row r="1645" spans="5:5" x14ac:dyDescent="0.15">
      <c r="E1645" s="25"/>
    </row>
    <row r="1646" spans="5:5" x14ac:dyDescent="0.15">
      <c r="E1646" s="25"/>
    </row>
    <row r="1647" spans="5:5" x14ac:dyDescent="0.15">
      <c r="E1647" s="25"/>
    </row>
    <row r="1648" spans="5:5" x14ac:dyDescent="0.15">
      <c r="E1648" s="25"/>
    </row>
    <row r="1649" spans="5:5" x14ac:dyDescent="0.15">
      <c r="E1649" s="25"/>
    </row>
    <row r="1650" spans="5:5" x14ac:dyDescent="0.15">
      <c r="E1650" s="25"/>
    </row>
    <row r="1651" spans="5:5" x14ac:dyDescent="0.15">
      <c r="E1651" s="25"/>
    </row>
    <row r="1652" spans="5:5" x14ac:dyDescent="0.15">
      <c r="E1652" s="25"/>
    </row>
    <row r="1653" spans="5:5" x14ac:dyDescent="0.15">
      <c r="E1653" s="25"/>
    </row>
    <row r="1654" spans="5:5" x14ac:dyDescent="0.15">
      <c r="E1654" s="25"/>
    </row>
    <row r="1655" spans="5:5" x14ac:dyDescent="0.15">
      <c r="E1655" s="25"/>
    </row>
    <row r="1656" spans="5:5" x14ac:dyDescent="0.15">
      <c r="E1656" s="25"/>
    </row>
    <row r="1657" spans="5:5" x14ac:dyDescent="0.15">
      <c r="E1657" s="25"/>
    </row>
    <row r="1658" spans="5:5" x14ac:dyDescent="0.15">
      <c r="E1658" s="25"/>
    </row>
    <row r="1659" spans="5:5" x14ac:dyDescent="0.15">
      <c r="E1659" s="25"/>
    </row>
    <row r="1660" spans="5:5" x14ac:dyDescent="0.15">
      <c r="E1660" s="25"/>
    </row>
    <row r="1661" spans="5:5" x14ac:dyDescent="0.15">
      <c r="E1661" s="25"/>
    </row>
    <row r="1662" spans="5:5" x14ac:dyDescent="0.15">
      <c r="E1662" s="25"/>
    </row>
    <row r="1663" spans="5:5" x14ac:dyDescent="0.15">
      <c r="E1663" s="25"/>
    </row>
    <row r="1664" spans="5:5" x14ac:dyDescent="0.15">
      <c r="E1664" s="25"/>
    </row>
    <row r="1665" spans="5:5" x14ac:dyDescent="0.15">
      <c r="E1665" s="25"/>
    </row>
    <row r="1666" spans="5:5" x14ac:dyDescent="0.15">
      <c r="E1666" s="25"/>
    </row>
    <row r="1667" spans="5:5" x14ac:dyDescent="0.15">
      <c r="E1667" s="25"/>
    </row>
    <row r="1668" spans="5:5" x14ac:dyDescent="0.15">
      <c r="E1668" s="25"/>
    </row>
    <row r="1669" spans="5:5" x14ac:dyDescent="0.15">
      <c r="E1669" s="25"/>
    </row>
    <row r="1670" spans="5:5" x14ac:dyDescent="0.15">
      <c r="E1670" s="25"/>
    </row>
    <row r="1671" spans="5:5" x14ac:dyDescent="0.15">
      <c r="E1671" s="25"/>
    </row>
    <row r="1672" spans="5:5" x14ac:dyDescent="0.15">
      <c r="E1672" s="25"/>
    </row>
    <row r="1673" spans="5:5" x14ac:dyDescent="0.15">
      <c r="E1673" s="25"/>
    </row>
    <row r="1674" spans="5:5" x14ac:dyDescent="0.15">
      <c r="E1674" s="25"/>
    </row>
    <row r="1675" spans="5:5" x14ac:dyDescent="0.15">
      <c r="E1675" s="25"/>
    </row>
    <row r="1676" spans="5:5" x14ac:dyDescent="0.15">
      <c r="E1676" s="25"/>
    </row>
    <row r="1677" spans="5:5" x14ac:dyDescent="0.15">
      <c r="E1677" s="25"/>
    </row>
    <row r="1678" spans="5:5" x14ac:dyDescent="0.15">
      <c r="E1678" s="25"/>
    </row>
    <row r="1679" spans="5:5" x14ac:dyDescent="0.15">
      <c r="E1679" s="25"/>
    </row>
    <row r="1680" spans="5:5" x14ac:dyDescent="0.15">
      <c r="E1680" s="25"/>
    </row>
    <row r="1681" spans="5:5" x14ac:dyDescent="0.15">
      <c r="E1681" s="25"/>
    </row>
    <row r="1682" spans="5:5" x14ac:dyDescent="0.15">
      <c r="E1682" s="25"/>
    </row>
    <row r="1683" spans="5:5" x14ac:dyDescent="0.15">
      <c r="E1683" s="25"/>
    </row>
    <row r="1684" spans="5:5" x14ac:dyDescent="0.15">
      <c r="E1684" s="25"/>
    </row>
    <row r="1685" spans="5:5" x14ac:dyDescent="0.15">
      <c r="E1685" s="25"/>
    </row>
    <row r="1686" spans="5:5" x14ac:dyDescent="0.15">
      <c r="E1686" s="25"/>
    </row>
    <row r="1687" spans="5:5" x14ac:dyDescent="0.15">
      <c r="E1687" s="25"/>
    </row>
    <row r="1688" spans="5:5" x14ac:dyDescent="0.15">
      <c r="E1688" s="25"/>
    </row>
    <row r="1689" spans="5:5" x14ac:dyDescent="0.15">
      <c r="E1689" s="25"/>
    </row>
    <row r="1690" spans="5:5" x14ac:dyDescent="0.15">
      <c r="E1690" s="25"/>
    </row>
    <row r="1691" spans="5:5" x14ac:dyDescent="0.15">
      <c r="E1691" s="25"/>
    </row>
    <row r="1692" spans="5:5" x14ac:dyDescent="0.15">
      <c r="E1692" s="25"/>
    </row>
    <row r="1693" spans="5:5" x14ac:dyDescent="0.15">
      <c r="E1693" s="25"/>
    </row>
    <row r="1694" spans="5:5" x14ac:dyDescent="0.15">
      <c r="E1694" s="25"/>
    </row>
    <row r="1695" spans="5:5" x14ac:dyDescent="0.15">
      <c r="E1695" s="25"/>
    </row>
    <row r="1696" spans="5:5" x14ac:dyDescent="0.15">
      <c r="E1696" s="25"/>
    </row>
    <row r="1697" spans="5:5" x14ac:dyDescent="0.15">
      <c r="E1697" s="25"/>
    </row>
    <row r="1698" spans="5:5" x14ac:dyDescent="0.15">
      <c r="E1698" s="25"/>
    </row>
    <row r="1699" spans="5:5" x14ac:dyDescent="0.15">
      <c r="E1699" s="25"/>
    </row>
    <row r="1700" spans="5:5" x14ac:dyDescent="0.15">
      <c r="E1700" s="25"/>
    </row>
    <row r="1701" spans="5:5" x14ac:dyDescent="0.15">
      <c r="E1701" s="25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C8708A-8303-2640-AAD9-3396DAA652DD}">
  <dimension ref="A1:J701"/>
  <sheetViews>
    <sheetView zoomScale="134" workbookViewId="0">
      <selection activeCell="E2" sqref="E2:E281"/>
    </sheetView>
  </sheetViews>
  <sheetFormatPr baseColWidth="10" defaultRowHeight="13" x14ac:dyDescent="0.15"/>
  <cols>
    <col min="4" max="4" width="12.5" bestFit="1" customWidth="1"/>
    <col min="5" max="5" width="65.33203125" bestFit="1" customWidth="1"/>
    <col min="6" max="6" width="74.6640625" bestFit="1" customWidth="1"/>
    <col min="7" max="7" width="13" bestFit="1" customWidth="1"/>
  </cols>
  <sheetData>
    <row r="1" spans="1:10" x14ac:dyDescent="0.15">
      <c r="A1" s="23" t="s">
        <v>4135</v>
      </c>
      <c r="B1" s="23" t="s">
        <v>4206</v>
      </c>
      <c r="C1" s="22" t="s">
        <v>4202</v>
      </c>
      <c r="D1" s="22" t="s">
        <v>4203</v>
      </c>
    </row>
    <row r="2" spans="1:10" x14ac:dyDescent="0.15">
      <c r="A2">
        <f t="shared" ref="A2:A65" si="0">INDEX($I$2:$I$51,INT(H2/14)+1)</f>
        <v>20229553</v>
      </c>
      <c r="B2" t="str">
        <f t="shared" ref="B2:B65" si="1">INDEX($J$2:$J$15,MOD(H2,14)+1)</f>
        <v>P-0965</v>
      </c>
      <c r="C2" s="27">
        <v>97</v>
      </c>
      <c r="D2">
        <v>44895</v>
      </c>
      <c r="E2" t="str" cm="1">
        <f t="array" ref="E2">insertinto(A2:D2,$F$2:$G$5,"pr_Projects_Results")</f>
        <v>insert into pr_Projects_Results values ('20229553', 'P-0965', 97, '30-Nov-2022');</v>
      </c>
      <c r="F2" s="14" t="s">
        <v>4135</v>
      </c>
      <c r="G2" s="14" t="s">
        <v>4231</v>
      </c>
      <c r="H2">
        <v>0</v>
      </c>
      <c r="I2">
        <f xml:space="preserve"> VLOOKUP(Students!C2,Students!C:I,1,0)</f>
        <v>20229553</v>
      </c>
      <c r="J2" t="str">
        <f xml:space="preserve"> VLOOKUP(Projects!A2,Projects!A:F,1,0)</f>
        <v>P-0965</v>
      </c>
    </row>
    <row r="3" spans="1:10" x14ac:dyDescent="0.15">
      <c r="A3">
        <f t="shared" si="0"/>
        <v>20229553</v>
      </c>
      <c r="B3" t="str">
        <f t="shared" si="1"/>
        <v>P-0416</v>
      </c>
      <c r="C3" s="27">
        <v>86</v>
      </c>
      <c r="D3">
        <v>44896</v>
      </c>
      <c r="E3" t="str" cm="1">
        <f t="array" ref="E3">insertinto(A3:D3,$F$2:$G$5,"pr_Projects_Results")</f>
        <v>insert into pr_Projects_Results values ('20229553', 'P-0416', 86, '01-Dec-2022');</v>
      </c>
      <c r="F3" s="14" t="s">
        <v>4206</v>
      </c>
      <c r="G3" s="14" t="s">
        <v>4231</v>
      </c>
      <c r="H3">
        <v>1</v>
      </c>
      <c r="I3">
        <f xml:space="preserve"> VLOOKUP(Students!C3,Students!C:I,1,0)</f>
        <v>20221414</v>
      </c>
      <c r="J3" t="str">
        <f xml:space="preserve"> VLOOKUP(Projects!A3,Projects!A:F,1,0)</f>
        <v>P-0416</v>
      </c>
    </row>
    <row r="4" spans="1:10" x14ac:dyDescent="0.15">
      <c r="A4">
        <f t="shared" si="0"/>
        <v>20229553</v>
      </c>
      <c r="B4" t="str">
        <f t="shared" si="1"/>
        <v>P-0834</v>
      </c>
      <c r="C4" s="27">
        <v>84</v>
      </c>
      <c r="D4">
        <v>44895</v>
      </c>
      <c r="E4" t="str" cm="1">
        <f t="array" ref="E4">insertinto(A4:D4,$F$2:$G$5,"pr_Projects_Results")</f>
        <v>insert into pr_Projects_Results values ('20229553', 'P-0834', 84, '30-Nov-2022');</v>
      </c>
      <c r="F4" s="14" t="s">
        <v>4202</v>
      </c>
      <c r="G4" s="14" t="s">
        <v>4232</v>
      </c>
      <c r="H4">
        <v>2</v>
      </c>
      <c r="I4">
        <f xml:space="preserve"> VLOOKUP(Students!C4,Students!C:I,1,0)</f>
        <v>20224306</v>
      </c>
      <c r="J4" t="str">
        <f xml:space="preserve"> VLOOKUP(Projects!A4,Projects!A:F,1,0)</f>
        <v>P-0834</v>
      </c>
    </row>
    <row r="5" spans="1:10" x14ac:dyDescent="0.15">
      <c r="A5">
        <f t="shared" si="0"/>
        <v>20229553</v>
      </c>
      <c r="B5" t="str">
        <f t="shared" si="1"/>
        <v>P-0665</v>
      </c>
      <c r="C5" s="27">
        <v>77</v>
      </c>
      <c r="D5">
        <v>45010</v>
      </c>
      <c r="E5" t="str" cm="1">
        <f t="array" ref="E5">insertinto(A5:D5,$F$2:$G$5,"pr_Projects_Results")</f>
        <v>insert into pr_Projects_Results values ('20229553', 'P-0665', 77, '25-Mar-2023');</v>
      </c>
      <c r="F5" s="14" t="s">
        <v>4203</v>
      </c>
      <c r="G5" s="14" t="s">
        <v>4201</v>
      </c>
      <c r="H5">
        <v>3</v>
      </c>
      <c r="I5">
        <f xml:space="preserve"> VLOOKUP(Students!C5,Students!C:I,1,0)</f>
        <v>20220731</v>
      </c>
      <c r="J5" t="str">
        <f xml:space="preserve"> VLOOKUP(Projects!A5,Projects!A:F,1,0)</f>
        <v>P-0665</v>
      </c>
    </row>
    <row r="6" spans="1:10" x14ac:dyDescent="0.15">
      <c r="A6">
        <f t="shared" si="0"/>
        <v>20229553</v>
      </c>
      <c r="B6" t="str">
        <f t="shared" si="1"/>
        <v>P-0683</v>
      </c>
      <c r="C6" s="27">
        <v>93</v>
      </c>
      <c r="D6">
        <v>45009</v>
      </c>
      <c r="E6" t="str" cm="1">
        <f t="array" ref="E6">insertinto(A6:D6,$F$2:$G$5,"pr_Projects_Results")</f>
        <v>insert into pr_Projects_Results values ('20229553', 'P-0683', 93, '24-Mar-2023');</v>
      </c>
      <c r="H6">
        <v>4</v>
      </c>
      <c r="I6">
        <f xml:space="preserve"> VLOOKUP(Students!C6,Students!C:I,1,0)</f>
        <v>20227092</v>
      </c>
      <c r="J6" t="str">
        <f xml:space="preserve"> VLOOKUP(Projects!A6,Projects!A:F,1,0)</f>
        <v>P-0683</v>
      </c>
    </row>
    <row r="7" spans="1:10" x14ac:dyDescent="0.15">
      <c r="A7">
        <f t="shared" si="0"/>
        <v>20229553</v>
      </c>
      <c r="B7" t="str">
        <f t="shared" si="1"/>
        <v>P-0575</v>
      </c>
      <c r="C7" s="27">
        <v>81</v>
      </c>
      <c r="D7">
        <v>45015</v>
      </c>
      <c r="E7" t="str" cm="1">
        <f t="array" ref="E7">insertinto(A7:D7,$F$2:$G$5,"pr_Projects_Results")</f>
        <v>insert into pr_Projects_Results values ('20229553', 'P-0575', 81, '30-Mar-2023');</v>
      </c>
      <c r="H7">
        <v>5</v>
      </c>
      <c r="I7">
        <f xml:space="preserve"> VLOOKUP(Students!C7,Students!C:I,1,0)</f>
        <v>20226184</v>
      </c>
      <c r="J7" t="str">
        <f xml:space="preserve"> VLOOKUP(Projects!A7,Projects!A:F,1,0)</f>
        <v>P-0575</v>
      </c>
    </row>
    <row r="8" spans="1:10" x14ac:dyDescent="0.15">
      <c r="A8">
        <f t="shared" si="0"/>
        <v>20229553</v>
      </c>
      <c r="B8" t="str">
        <f t="shared" si="1"/>
        <v>P-0699</v>
      </c>
      <c r="C8" s="27">
        <v>78</v>
      </c>
      <c r="D8">
        <v>45013</v>
      </c>
      <c r="E8" t="str" cm="1">
        <f t="array" ref="E8">insertinto(A8:D8,$F$2:$G$5,"pr_Projects_Results")</f>
        <v>insert into pr_Projects_Results values ('20229553', 'P-0699', 78, '28-Mar-2023');</v>
      </c>
      <c r="H8">
        <v>6</v>
      </c>
      <c r="I8">
        <f xml:space="preserve"> VLOOKUP(Students!C8,Students!C:I,1,0)</f>
        <v>20229558</v>
      </c>
      <c r="J8" t="str">
        <f xml:space="preserve"> VLOOKUP(Projects!A8,Projects!A:F,1,0)</f>
        <v>P-0699</v>
      </c>
    </row>
    <row r="9" spans="1:10" x14ac:dyDescent="0.15">
      <c r="A9">
        <f t="shared" si="0"/>
        <v>20229553</v>
      </c>
      <c r="B9" t="str">
        <f t="shared" si="1"/>
        <v>P-0092</v>
      </c>
      <c r="C9" s="27">
        <v>86</v>
      </c>
      <c r="D9">
        <v>45090</v>
      </c>
      <c r="E9" t="str" cm="1">
        <f t="array" ref="E9">insertinto(A9:D9,$F$2:$G$5,"pr_Projects_Results")</f>
        <v>insert into pr_Projects_Results values ('20229553', 'P-0092', 86, '13-Jun-2023');</v>
      </c>
      <c r="H9">
        <v>7</v>
      </c>
      <c r="I9">
        <f xml:space="preserve"> VLOOKUP(Students!C9,Students!C:I,1,0)</f>
        <v>20228839</v>
      </c>
      <c r="J9" t="str">
        <f xml:space="preserve"> VLOOKUP(Projects!A9,Projects!A:F,1,0)</f>
        <v>P-0092</v>
      </c>
    </row>
    <row r="10" spans="1:10" x14ac:dyDescent="0.15">
      <c r="A10">
        <f t="shared" si="0"/>
        <v>20229553</v>
      </c>
      <c r="B10" t="str">
        <f t="shared" si="1"/>
        <v>P-0642</v>
      </c>
      <c r="C10" s="27">
        <v>78</v>
      </c>
      <c r="D10">
        <v>45069</v>
      </c>
      <c r="E10" t="str" cm="1">
        <f t="array" ref="E10">insertinto(A10:D10,$F$2:$G$5,"pr_Projects_Results")</f>
        <v>insert into pr_Projects_Results values ('20229553', 'P-0642', 78, '23-May-2023');</v>
      </c>
      <c r="H10">
        <v>8</v>
      </c>
      <c r="I10">
        <f xml:space="preserve"> VLOOKUP(Students!C10,Students!C:I,1,0)</f>
        <v>20227541</v>
      </c>
      <c r="J10" t="str">
        <f xml:space="preserve"> VLOOKUP(Projects!A10,Projects!A:F,1,0)</f>
        <v>P-0642</v>
      </c>
    </row>
    <row r="11" spans="1:10" x14ac:dyDescent="0.15">
      <c r="A11">
        <f t="shared" si="0"/>
        <v>20229553</v>
      </c>
      <c r="B11" t="str">
        <f t="shared" si="1"/>
        <v>P-0556</v>
      </c>
      <c r="C11" s="27">
        <v>73</v>
      </c>
      <c r="D11">
        <v>45087</v>
      </c>
      <c r="E11" t="str" cm="1">
        <f t="array" ref="E11">insertinto(A11:D11,$F$2:$G$5,"pr_Projects_Results")</f>
        <v>insert into pr_Projects_Results values ('20229553', 'P-0556', 73, '10-Jun-2023');</v>
      </c>
      <c r="H11">
        <v>9</v>
      </c>
      <c r="I11">
        <f xml:space="preserve"> VLOOKUP(Students!C11,Students!C:I,1,0)</f>
        <v>20227466</v>
      </c>
      <c r="J11" t="str">
        <f xml:space="preserve"> VLOOKUP(Projects!A11,Projects!A:F,1,0)</f>
        <v>P-0556</v>
      </c>
    </row>
    <row r="12" spans="1:10" x14ac:dyDescent="0.15">
      <c r="A12">
        <f t="shared" si="0"/>
        <v>20229553</v>
      </c>
      <c r="B12" t="str">
        <f t="shared" si="1"/>
        <v>P-0831</v>
      </c>
      <c r="C12" s="27">
        <v>72</v>
      </c>
      <c r="D12">
        <v>45261</v>
      </c>
      <c r="E12" t="str" cm="1">
        <f t="array" ref="E12">insertinto(A12:D12,$F$2:$G$5,"pr_Projects_Results")</f>
        <v>insert into pr_Projects_Results values ('20229553', 'P-0831', 72, '01-Dec-2023');</v>
      </c>
      <c r="H12">
        <v>10</v>
      </c>
      <c r="I12">
        <f xml:space="preserve"> VLOOKUP(Students!C12,Students!C:I,1,0)</f>
        <v>20226221</v>
      </c>
      <c r="J12" t="str">
        <f xml:space="preserve"> VLOOKUP(Projects!A12,Projects!A:F,1,0)</f>
        <v>P-0831</v>
      </c>
    </row>
    <row r="13" spans="1:10" x14ac:dyDescent="0.15">
      <c r="A13">
        <f t="shared" si="0"/>
        <v>20229553</v>
      </c>
      <c r="B13" t="str">
        <f t="shared" si="1"/>
        <v>P-0722</v>
      </c>
      <c r="C13" s="27">
        <v>85</v>
      </c>
      <c r="D13">
        <v>45262</v>
      </c>
      <c r="E13" t="str" cm="1">
        <f t="array" ref="E13">insertinto(A13:D13,$F$2:$G$5,"pr_Projects_Results")</f>
        <v>insert into pr_Projects_Results values ('20229553', 'P-0722', 85, '02-Dec-2023');</v>
      </c>
      <c r="H13">
        <v>11</v>
      </c>
      <c r="I13">
        <f xml:space="preserve"> VLOOKUP(Students!C13,Students!C:I,1,0)</f>
        <v>20224946</v>
      </c>
      <c r="J13" t="str">
        <f xml:space="preserve"> VLOOKUP(Projects!A13,Projects!A:F,1,0)</f>
        <v>P-0722</v>
      </c>
    </row>
    <row r="14" spans="1:10" x14ac:dyDescent="0.15">
      <c r="A14">
        <f t="shared" si="0"/>
        <v>20229553</v>
      </c>
      <c r="B14" t="str">
        <f t="shared" si="1"/>
        <v>P-0745</v>
      </c>
      <c r="C14" s="27">
        <v>76</v>
      </c>
      <c r="D14">
        <v>45292</v>
      </c>
      <c r="E14" t="str" cm="1">
        <f t="array" ref="E14">insertinto(A14:D14,$F$2:$G$5,"pr_Projects_Results")</f>
        <v>insert into pr_Projects_Results values ('20229553', 'P-0745', 76, '01-Jan-2024');</v>
      </c>
      <c r="H14">
        <v>12</v>
      </c>
      <c r="I14">
        <f xml:space="preserve"> VLOOKUP(Students!C14,Students!C:I,1,0)</f>
        <v>20227782</v>
      </c>
      <c r="J14" t="str">
        <f xml:space="preserve"> VLOOKUP(Projects!A14,Projects!A:F,1,0)</f>
        <v>P-0745</v>
      </c>
    </row>
    <row r="15" spans="1:10" x14ac:dyDescent="0.15">
      <c r="A15">
        <f t="shared" si="0"/>
        <v>20229553</v>
      </c>
      <c r="B15" t="str">
        <f t="shared" si="1"/>
        <v>P-0579</v>
      </c>
      <c r="C15" s="27">
        <v>76</v>
      </c>
      <c r="D15">
        <v>45255</v>
      </c>
      <c r="E15" t="str" cm="1">
        <f t="array" ref="E15">insertinto(A15:D15,$F$2:$G$5,"pr_Projects_Results")</f>
        <v>insert into pr_Projects_Results values ('20229553', 'P-0579', 76, '25-Nov-2023');</v>
      </c>
      <c r="H15">
        <v>13</v>
      </c>
      <c r="I15">
        <f xml:space="preserve"> VLOOKUP(Students!C15,Students!C:I,1,0)</f>
        <v>20227177</v>
      </c>
      <c r="J15" t="str">
        <f xml:space="preserve"> VLOOKUP(Projects!A15,Projects!A:F,1,0)</f>
        <v>P-0579</v>
      </c>
    </row>
    <row r="16" spans="1:10" x14ac:dyDescent="0.15">
      <c r="A16">
        <f t="shared" si="0"/>
        <v>20221414</v>
      </c>
      <c r="B16" t="str">
        <f t="shared" si="1"/>
        <v>P-0965</v>
      </c>
      <c r="C16" s="27">
        <v>98</v>
      </c>
      <c r="D16">
        <v>44895</v>
      </c>
      <c r="E16" t="str" cm="1">
        <f t="array" ref="E16">insertinto(A16:D16,$F$2:$G$5,"pr_Projects_Results")</f>
        <v>insert into pr_Projects_Results values ('20221414', 'P-0965', 98, '30-Nov-2022');</v>
      </c>
      <c r="H16">
        <v>14</v>
      </c>
      <c r="I16">
        <f xml:space="preserve"> VLOOKUP(Students!C16,Students!C:I,1,0)</f>
        <v>20221564</v>
      </c>
    </row>
    <row r="17" spans="1:9" x14ac:dyDescent="0.15">
      <c r="A17">
        <f t="shared" si="0"/>
        <v>20221414</v>
      </c>
      <c r="B17" t="str">
        <f t="shared" si="1"/>
        <v>P-0416</v>
      </c>
      <c r="C17" s="27">
        <v>87</v>
      </c>
      <c r="D17">
        <v>44894</v>
      </c>
      <c r="E17" t="str" cm="1">
        <f t="array" ref="E17">insertinto(A17:D17,$F$2:$G$5,"pr_Projects_Results")</f>
        <v>insert into pr_Projects_Results values ('20221414', 'P-0416', 87, '29-Nov-2022');</v>
      </c>
      <c r="H17">
        <v>15</v>
      </c>
      <c r="I17">
        <f xml:space="preserve"> VLOOKUP(Students!C17,Students!C:I,1,0)</f>
        <v>20224484</v>
      </c>
    </row>
    <row r="18" spans="1:9" x14ac:dyDescent="0.15">
      <c r="A18">
        <f t="shared" si="0"/>
        <v>20221414</v>
      </c>
      <c r="B18" t="str">
        <f t="shared" si="1"/>
        <v>P-0834</v>
      </c>
      <c r="C18" s="27">
        <v>72</v>
      </c>
      <c r="D18">
        <v>44895</v>
      </c>
      <c r="E18" t="str" cm="1">
        <f t="array" ref="E18">insertinto(A18:D18,$F$2:$G$5,"pr_Projects_Results")</f>
        <v>insert into pr_Projects_Results values ('20221414', 'P-0834', 72, '30-Nov-2022');</v>
      </c>
      <c r="H18">
        <v>16</v>
      </c>
      <c r="I18">
        <f xml:space="preserve"> VLOOKUP(Students!C18,Students!C:I,1,0)</f>
        <v>20226724</v>
      </c>
    </row>
    <row r="19" spans="1:9" x14ac:dyDescent="0.15">
      <c r="A19">
        <f t="shared" si="0"/>
        <v>20221414</v>
      </c>
      <c r="B19" t="str">
        <f t="shared" si="1"/>
        <v>P-0665</v>
      </c>
      <c r="C19" s="27">
        <v>76</v>
      </c>
      <c r="D19">
        <v>45009</v>
      </c>
      <c r="E19" t="str" cm="1">
        <f t="array" ref="E19">insertinto(A19:D19,$F$2:$G$5,"pr_Projects_Results")</f>
        <v>insert into pr_Projects_Results values ('20221414', 'P-0665', 76, '24-Mar-2023');</v>
      </c>
      <c r="H19">
        <v>17</v>
      </c>
      <c r="I19">
        <f xml:space="preserve"> VLOOKUP(Students!C19,Students!C:I,1,0)</f>
        <v>20225519</v>
      </c>
    </row>
    <row r="20" spans="1:9" x14ac:dyDescent="0.15">
      <c r="A20">
        <f t="shared" si="0"/>
        <v>20221414</v>
      </c>
      <c r="B20" t="str">
        <f t="shared" si="1"/>
        <v>P-0683</v>
      </c>
      <c r="C20" s="27">
        <v>88</v>
      </c>
      <c r="D20">
        <v>45053</v>
      </c>
      <c r="E20" t="str" cm="1">
        <f t="array" ref="E20">insertinto(A20:D20,$F$2:$G$5,"pr_Projects_Results")</f>
        <v>insert into pr_Projects_Results values ('20221414', 'P-0683', 88, '07-May-2023');</v>
      </c>
      <c r="H20">
        <v>18</v>
      </c>
      <c r="I20">
        <f xml:space="preserve"> VLOOKUP(Students!C20,Students!C:I,1,0)</f>
        <v>20227388</v>
      </c>
    </row>
    <row r="21" spans="1:9" x14ac:dyDescent="0.15">
      <c r="A21">
        <f t="shared" si="0"/>
        <v>20221414</v>
      </c>
      <c r="B21" t="str">
        <f t="shared" si="1"/>
        <v>P-0575</v>
      </c>
      <c r="C21" s="27">
        <v>90</v>
      </c>
      <c r="D21">
        <v>45015</v>
      </c>
      <c r="E21" t="str" cm="1">
        <f t="array" ref="E21">insertinto(A21:D21,$F$2:$G$5,"pr_Projects_Results")</f>
        <v>insert into pr_Projects_Results values ('20221414', 'P-0575', 90, '30-Mar-2023');</v>
      </c>
      <c r="H21">
        <v>19</v>
      </c>
      <c r="I21">
        <f xml:space="preserve"> VLOOKUP(Students!C21,Students!C:I,1,0)</f>
        <v>20223671</v>
      </c>
    </row>
    <row r="22" spans="1:9" x14ac:dyDescent="0.15">
      <c r="A22">
        <f t="shared" si="0"/>
        <v>20221414</v>
      </c>
      <c r="B22" t="str">
        <f t="shared" si="1"/>
        <v>P-0699</v>
      </c>
      <c r="C22" s="27">
        <v>83</v>
      </c>
      <c r="D22">
        <v>45016</v>
      </c>
      <c r="E22" t="str" cm="1">
        <f t="array" ref="E22">insertinto(A22:D22,$F$2:$G$5,"pr_Projects_Results")</f>
        <v>insert into pr_Projects_Results values ('20221414', 'P-0699', 83, '31-Mar-2023');</v>
      </c>
      <c r="H22">
        <v>20</v>
      </c>
    </row>
    <row r="23" spans="1:9" x14ac:dyDescent="0.15">
      <c r="A23">
        <f t="shared" si="0"/>
        <v>20221414</v>
      </c>
      <c r="B23" t="str">
        <f t="shared" si="1"/>
        <v>P-0092</v>
      </c>
      <c r="C23" s="27">
        <v>92</v>
      </c>
      <c r="D23">
        <v>45085</v>
      </c>
      <c r="E23" t="str" cm="1">
        <f t="array" ref="E23">insertinto(A23:D23,$F$2:$G$5,"pr_Projects_Results")</f>
        <v>insert into pr_Projects_Results values ('20221414', 'P-0092', 92, '08-Jun-2023');</v>
      </c>
      <c r="H23">
        <v>21</v>
      </c>
    </row>
    <row r="24" spans="1:9" x14ac:dyDescent="0.15">
      <c r="A24">
        <f t="shared" si="0"/>
        <v>20221414</v>
      </c>
      <c r="B24" t="str">
        <f t="shared" si="1"/>
        <v>P-0642</v>
      </c>
      <c r="C24" s="27">
        <v>92</v>
      </c>
      <c r="D24">
        <v>45067</v>
      </c>
      <c r="E24" t="str" cm="1">
        <f t="array" ref="E24">insertinto(A24:D24,$F$2:$G$5,"pr_Projects_Results")</f>
        <v>insert into pr_Projects_Results values ('20221414', 'P-0642', 92, '21-May-2023');</v>
      </c>
      <c r="H24">
        <v>22</v>
      </c>
    </row>
    <row r="25" spans="1:9" x14ac:dyDescent="0.15">
      <c r="A25">
        <f t="shared" si="0"/>
        <v>20221414</v>
      </c>
      <c r="B25" t="str">
        <f t="shared" si="1"/>
        <v>P-0556</v>
      </c>
      <c r="C25" s="27">
        <v>75</v>
      </c>
      <c r="D25">
        <v>45089</v>
      </c>
      <c r="E25" t="str" cm="1">
        <f t="array" ref="E25">insertinto(A25:D25,$F$2:$G$5,"pr_Projects_Results")</f>
        <v>insert into pr_Projects_Results values ('20221414', 'P-0556', 75, '12-Jun-2023');</v>
      </c>
      <c r="H25">
        <v>23</v>
      </c>
    </row>
    <row r="26" spans="1:9" x14ac:dyDescent="0.15">
      <c r="A26">
        <f t="shared" si="0"/>
        <v>20221414</v>
      </c>
      <c r="B26" t="str">
        <f t="shared" si="1"/>
        <v>P-0831</v>
      </c>
      <c r="C26" s="27">
        <v>100</v>
      </c>
      <c r="D26">
        <v>45267</v>
      </c>
      <c r="E26" t="str" cm="1">
        <f t="array" ref="E26">insertinto(A26:D26,$F$2:$G$5,"pr_Projects_Results")</f>
        <v>insert into pr_Projects_Results values ('20221414', 'P-0831', 100, '07-Dec-2023');</v>
      </c>
      <c r="H26">
        <v>24</v>
      </c>
    </row>
    <row r="27" spans="1:9" x14ac:dyDescent="0.15">
      <c r="A27">
        <f t="shared" si="0"/>
        <v>20221414</v>
      </c>
      <c r="B27" t="str">
        <f t="shared" si="1"/>
        <v>P-0722</v>
      </c>
      <c r="C27" s="27">
        <v>93</v>
      </c>
      <c r="D27">
        <v>45266</v>
      </c>
      <c r="E27" t="str" cm="1">
        <f t="array" ref="E27">insertinto(A27:D27,$F$2:$G$5,"pr_Projects_Results")</f>
        <v>insert into pr_Projects_Results values ('20221414', 'P-0722', 93, '06-Dec-2023');</v>
      </c>
      <c r="H27">
        <v>25</v>
      </c>
    </row>
    <row r="28" spans="1:9" x14ac:dyDescent="0.15">
      <c r="A28">
        <f t="shared" si="0"/>
        <v>20221414</v>
      </c>
      <c r="B28" t="str">
        <f t="shared" si="1"/>
        <v>P-0745</v>
      </c>
      <c r="C28" s="27">
        <v>81</v>
      </c>
      <c r="D28">
        <v>45236</v>
      </c>
      <c r="E28" t="str" cm="1">
        <f t="array" ref="E28">insertinto(A28:D28,$F$2:$G$5,"pr_Projects_Results")</f>
        <v>insert into pr_Projects_Results values ('20221414', 'P-0745', 81, '06-Nov-2023');</v>
      </c>
      <c r="H28">
        <v>26</v>
      </c>
    </row>
    <row r="29" spans="1:9" x14ac:dyDescent="0.15">
      <c r="A29">
        <f t="shared" si="0"/>
        <v>20221414</v>
      </c>
      <c r="B29" t="str">
        <f t="shared" si="1"/>
        <v>P-0579</v>
      </c>
      <c r="C29" s="27">
        <v>92</v>
      </c>
      <c r="D29">
        <v>45254</v>
      </c>
      <c r="E29" t="str" cm="1">
        <f t="array" ref="E29">insertinto(A29:D29,$F$2:$G$5,"pr_Projects_Results")</f>
        <v>insert into pr_Projects_Results values ('20221414', 'P-0579', 92, '24-Nov-2023');</v>
      </c>
      <c r="H29">
        <v>27</v>
      </c>
    </row>
    <row r="30" spans="1:9" x14ac:dyDescent="0.15">
      <c r="A30">
        <f t="shared" si="0"/>
        <v>20224306</v>
      </c>
      <c r="B30" t="str">
        <f t="shared" si="1"/>
        <v>P-0965</v>
      </c>
      <c r="C30" s="27">
        <v>90</v>
      </c>
      <c r="D30">
        <v>44894</v>
      </c>
      <c r="E30" t="str" cm="1">
        <f t="array" ref="E30">insertinto(A30:D30,$F$2:$G$5,"pr_Projects_Results")</f>
        <v>insert into pr_Projects_Results values ('20224306', 'P-0965', 90, '29-Nov-2022');</v>
      </c>
      <c r="H30">
        <v>28</v>
      </c>
    </row>
    <row r="31" spans="1:9" x14ac:dyDescent="0.15">
      <c r="A31">
        <f t="shared" si="0"/>
        <v>20224306</v>
      </c>
      <c r="B31" t="str">
        <f t="shared" si="1"/>
        <v>P-0416</v>
      </c>
      <c r="C31" s="27">
        <v>90</v>
      </c>
      <c r="D31">
        <v>44895</v>
      </c>
      <c r="E31" t="str" cm="1">
        <f t="array" ref="E31">insertinto(A31:D31,$F$2:$G$5,"pr_Projects_Results")</f>
        <v>insert into pr_Projects_Results values ('20224306', 'P-0416', 90, '30-Nov-2022');</v>
      </c>
      <c r="H31">
        <v>29</v>
      </c>
    </row>
    <row r="32" spans="1:9" x14ac:dyDescent="0.15">
      <c r="A32">
        <f t="shared" si="0"/>
        <v>20224306</v>
      </c>
      <c r="B32" t="str">
        <f t="shared" si="1"/>
        <v>P-0834</v>
      </c>
      <c r="C32" s="27">
        <v>84</v>
      </c>
      <c r="D32">
        <v>44889</v>
      </c>
      <c r="E32" t="str" cm="1">
        <f t="array" ref="E32">insertinto(A32:D32,$F$2:$G$5,"pr_Projects_Results")</f>
        <v>insert into pr_Projects_Results values ('20224306', 'P-0834', 84, '24-Nov-2022');</v>
      </c>
      <c r="H32">
        <v>30</v>
      </c>
    </row>
    <row r="33" spans="1:8" x14ac:dyDescent="0.15">
      <c r="A33">
        <f t="shared" si="0"/>
        <v>20224306</v>
      </c>
      <c r="B33" t="str">
        <f t="shared" si="1"/>
        <v>P-0665</v>
      </c>
      <c r="C33" s="27">
        <v>77</v>
      </c>
      <c r="D33">
        <v>45013</v>
      </c>
      <c r="E33" t="str" cm="1">
        <f t="array" ref="E33">insertinto(A33:D33,$F$2:$G$5,"pr_Projects_Results")</f>
        <v>insert into pr_Projects_Results values ('20224306', 'P-0665', 77, '28-Mar-2023');</v>
      </c>
      <c r="H33">
        <v>31</v>
      </c>
    </row>
    <row r="34" spans="1:8" x14ac:dyDescent="0.15">
      <c r="A34">
        <f t="shared" si="0"/>
        <v>20224306</v>
      </c>
      <c r="B34" t="str">
        <f t="shared" si="1"/>
        <v>P-0683</v>
      </c>
      <c r="C34" s="27">
        <v>80</v>
      </c>
      <c r="D34">
        <v>45013</v>
      </c>
      <c r="E34" t="str" cm="1">
        <f t="array" ref="E34">insertinto(A34:D34,$F$2:$G$5,"pr_Projects_Results")</f>
        <v>insert into pr_Projects_Results values ('20224306', 'P-0683', 80, '28-Mar-2023');</v>
      </c>
      <c r="H34">
        <v>32</v>
      </c>
    </row>
    <row r="35" spans="1:8" x14ac:dyDescent="0.15">
      <c r="A35">
        <f t="shared" si="0"/>
        <v>20224306</v>
      </c>
      <c r="B35" t="str">
        <f t="shared" si="1"/>
        <v>P-0575</v>
      </c>
      <c r="C35" s="27">
        <v>81</v>
      </c>
      <c r="D35">
        <v>45010</v>
      </c>
      <c r="E35" t="str" cm="1">
        <f t="array" ref="E35">insertinto(A35:D35,$F$2:$G$5,"pr_Projects_Results")</f>
        <v>insert into pr_Projects_Results values ('20224306', 'P-0575', 81, '25-Mar-2023');</v>
      </c>
      <c r="H35">
        <v>33</v>
      </c>
    </row>
    <row r="36" spans="1:8" x14ac:dyDescent="0.15">
      <c r="A36">
        <f t="shared" si="0"/>
        <v>20224306</v>
      </c>
      <c r="B36" t="str">
        <f t="shared" si="1"/>
        <v>P-0699</v>
      </c>
      <c r="C36" s="27">
        <v>86</v>
      </c>
      <c r="D36">
        <v>45012</v>
      </c>
      <c r="E36" t="str" cm="1">
        <f t="array" ref="E36">insertinto(A36:D36,$F$2:$G$5,"pr_Projects_Results")</f>
        <v>insert into pr_Projects_Results values ('20224306', 'P-0699', 86, '27-Mar-2023');</v>
      </c>
      <c r="H36">
        <v>34</v>
      </c>
    </row>
    <row r="37" spans="1:8" x14ac:dyDescent="0.15">
      <c r="A37">
        <f t="shared" si="0"/>
        <v>20224306</v>
      </c>
      <c r="B37" t="str">
        <f t="shared" si="1"/>
        <v>P-0092</v>
      </c>
      <c r="C37" s="27">
        <v>100</v>
      </c>
      <c r="D37">
        <v>45088</v>
      </c>
      <c r="E37" t="str" cm="1">
        <f t="array" ref="E37">insertinto(A37:D37,$F$2:$G$5,"pr_Projects_Results")</f>
        <v>insert into pr_Projects_Results values ('20224306', 'P-0092', 100, '11-Jun-2023');</v>
      </c>
      <c r="H37">
        <v>35</v>
      </c>
    </row>
    <row r="38" spans="1:8" x14ac:dyDescent="0.15">
      <c r="A38">
        <f t="shared" si="0"/>
        <v>20224306</v>
      </c>
      <c r="B38" t="str">
        <f t="shared" si="1"/>
        <v>P-0642</v>
      </c>
      <c r="C38" s="27">
        <v>95</v>
      </c>
      <c r="D38">
        <v>45069</v>
      </c>
      <c r="E38" t="str" cm="1">
        <f t="array" ref="E38">insertinto(A38:D38,$F$2:$G$5,"pr_Projects_Results")</f>
        <v>insert into pr_Projects_Results values ('20224306', 'P-0642', 95, '23-May-2023');</v>
      </c>
      <c r="H38">
        <v>36</v>
      </c>
    </row>
    <row r="39" spans="1:8" x14ac:dyDescent="0.15">
      <c r="A39">
        <f t="shared" si="0"/>
        <v>20224306</v>
      </c>
      <c r="B39" t="str">
        <f t="shared" si="1"/>
        <v>P-0556</v>
      </c>
      <c r="C39" s="27">
        <v>99</v>
      </c>
      <c r="D39">
        <v>45089</v>
      </c>
      <c r="E39" t="str" cm="1">
        <f t="array" ref="E39">insertinto(A39:D39,$F$2:$G$5,"pr_Projects_Results")</f>
        <v>insert into pr_Projects_Results values ('20224306', 'P-0556', 99, '12-Jun-2023');</v>
      </c>
      <c r="H39">
        <v>37</v>
      </c>
    </row>
    <row r="40" spans="1:8" x14ac:dyDescent="0.15">
      <c r="A40">
        <f t="shared" si="0"/>
        <v>20224306</v>
      </c>
      <c r="B40" t="str">
        <f t="shared" si="1"/>
        <v>P-0831</v>
      </c>
      <c r="C40" s="27">
        <v>87</v>
      </c>
      <c r="D40">
        <v>45263</v>
      </c>
      <c r="E40" t="str" cm="1">
        <f t="array" ref="E40">insertinto(A40:D40,$F$2:$G$5,"pr_Projects_Results")</f>
        <v>insert into pr_Projects_Results values ('20224306', 'P-0831', 87, '03-Dec-2023');</v>
      </c>
      <c r="H40">
        <v>38</v>
      </c>
    </row>
    <row r="41" spans="1:8" x14ac:dyDescent="0.15">
      <c r="A41">
        <f t="shared" si="0"/>
        <v>20224306</v>
      </c>
      <c r="B41" t="str">
        <f t="shared" si="1"/>
        <v>P-0722</v>
      </c>
      <c r="C41" s="27">
        <v>70</v>
      </c>
      <c r="D41">
        <v>45262</v>
      </c>
      <c r="E41" t="str" cm="1">
        <f t="array" ref="E41">insertinto(A41:D41,$F$2:$G$5,"pr_Projects_Results")</f>
        <v>insert into pr_Projects_Results values ('20224306', 'P-0722', 70, '02-Dec-2023');</v>
      </c>
      <c r="H41">
        <v>39</v>
      </c>
    </row>
    <row r="42" spans="1:8" x14ac:dyDescent="0.15">
      <c r="A42">
        <f t="shared" si="0"/>
        <v>20224306</v>
      </c>
      <c r="B42" t="str">
        <f t="shared" si="1"/>
        <v>P-0745</v>
      </c>
      <c r="C42" s="27">
        <v>85</v>
      </c>
      <c r="D42">
        <v>45232</v>
      </c>
      <c r="E42" t="str" cm="1">
        <f t="array" ref="E42">insertinto(A42:D42,$F$2:$G$5,"pr_Projects_Results")</f>
        <v>insert into pr_Projects_Results values ('20224306', 'P-0745', 85, '02-Nov-2023');</v>
      </c>
      <c r="H42">
        <v>40</v>
      </c>
    </row>
    <row r="43" spans="1:8" x14ac:dyDescent="0.15">
      <c r="A43">
        <f t="shared" si="0"/>
        <v>20224306</v>
      </c>
      <c r="B43" t="str">
        <f t="shared" si="1"/>
        <v>P-0579</v>
      </c>
      <c r="C43" s="27">
        <v>70</v>
      </c>
      <c r="D43">
        <v>45259</v>
      </c>
      <c r="E43" t="str" cm="1">
        <f t="array" ref="E43">insertinto(A43:D43,$F$2:$G$5,"pr_Projects_Results")</f>
        <v>insert into pr_Projects_Results values ('20224306', 'P-0579', 70, '29-Nov-2023');</v>
      </c>
      <c r="H43">
        <v>41</v>
      </c>
    </row>
    <row r="44" spans="1:8" x14ac:dyDescent="0.15">
      <c r="A44">
        <f t="shared" si="0"/>
        <v>20220731</v>
      </c>
      <c r="B44" t="str">
        <f t="shared" si="1"/>
        <v>P-0965</v>
      </c>
      <c r="C44" s="27">
        <v>76</v>
      </c>
      <c r="D44">
        <v>44897</v>
      </c>
      <c r="E44" t="str" cm="1">
        <f t="array" ref="E44">insertinto(A44:D44,$F$2:$G$5,"pr_Projects_Results")</f>
        <v>insert into pr_Projects_Results values ('20220731', 'P-0965', 76, '02-Dec-2022');</v>
      </c>
      <c r="H44">
        <v>42</v>
      </c>
    </row>
    <row r="45" spans="1:8" x14ac:dyDescent="0.15">
      <c r="A45">
        <f t="shared" si="0"/>
        <v>20220731</v>
      </c>
      <c r="B45" t="str">
        <f t="shared" si="1"/>
        <v>P-0416</v>
      </c>
      <c r="C45" s="27">
        <v>74</v>
      </c>
      <c r="D45">
        <v>44891</v>
      </c>
      <c r="E45" t="str" cm="1">
        <f t="array" ref="E45">insertinto(A45:D45,$F$2:$G$5,"pr_Projects_Results")</f>
        <v>insert into pr_Projects_Results values ('20220731', 'P-0416', 74, '26-Nov-2022');</v>
      </c>
      <c r="H45">
        <v>43</v>
      </c>
    </row>
    <row r="46" spans="1:8" x14ac:dyDescent="0.15">
      <c r="A46">
        <f t="shared" si="0"/>
        <v>20220731</v>
      </c>
      <c r="B46" t="str">
        <f t="shared" si="1"/>
        <v>P-0834</v>
      </c>
      <c r="C46" s="27">
        <v>79</v>
      </c>
      <c r="D46">
        <v>44894</v>
      </c>
      <c r="E46" t="str" cm="1">
        <f t="array" ref="E46">insertinto(A46:D46,$F$2:$G$5,"pr_Projects_Results")</f>
        <v>insert into pr_Projects_Results values ('20220731', 'P-0834', 79, '29-Nov-2022');</v>
      </c>
      <c r="H46">
        <v>44</v>
      </c>
    </row>
    <row r="47" spans="1:8" x14ac:dyDescent="0.15">
      <c r="A47">
        <f t="shared" si="0"/>
        <v>20220731</v>
      </c>
      <c r="B47" t="str">
        <f t="shared" si="1"/>
        <v>P-0665</v>
      </c>
      <c r="C47" s="27">
        <v>78</v>
      </c>
      <c r="D47">
        <v>45059</v>
      </c>
      <c r="E47" t="str" cm="1">
        <f t="array" ref="E47">insertinto(A47:D47,$F$2:$G$5,"pr_Projects_Results")</f>
        <v>insert into pr_Projects_Results values ('20220731', 'P-0665', 78, '13-May-2023');</v>
      </c>
      <c r="H47">
        <v>45</v>
      </c>
    </row>
    <row r="48" spans="1:8" x14ac:dyDescent="0.15">
      <c r="A48">
        <f t="shared" si="0"/>
        <v>20220731</v>
      </c>
      <c r="B48" t="str">
        <f t="shared" si="1"/>
        <v>P-0683</v>
      </c>
      <c r="C48" s="27">
        <v>86</v>
      </c>
      <c r="D48">
        <v>45010</v>
      </c>
      <c r="E48" t="str" cm="1">
        <f t="array" ref="E48">insertinto(A48:D48,$F$2:$G$5,"pr_Projects_Results")</f>
        <v>insert into pr_Projects_Results values ('20220731', 'P-0683', 86, '25-Mar-2023');</v>
      </c>
      <c r="H48">
        <v>46</v>
      </c>
    </row>
    <row r="49" spans="1:8" x14ac:dyDescent="0.15">
      <c r="A49">
        <f t="shared" si="0"/>
        <v>20220731</v>
      </c>
      <c r="B49" t="str">
        <f t="shared" si="1"/>
        <v>P-0575</v>
      </c>
      <c r="C49" s="27">
        <v>84</v>
      </c>
      <c r="D49">
        <v>45015</v>
      </c>
      <c r="E49" t="str" cm="1">
        <f t="array" ref="E49">insertinto(A49:D49,$F$2:$G$5,"pr_Projects_Results")</f>
        <v>insert into pr_Projects_Results values ('20220731', 'P-0575', 84, '30-Mar-2023');</v>
      </c>
      <c r="H49">
        <v>47</v>
      </c>
    </row>
    <row r="50" spans="1:8" x14ac:dyDescent="0.15">
      <c r="A50">
        <f t="shared" si="0"/>
        <v>20220731</v>
      </c>
      <c r="B50" t="str">
        <f t="shared" si="1"/>
        <v>P-0699</v>
      </c>
      <c r="C50" s="27">
        <v>98</v>
      </c>
      <c r="D50">
        <v>45016</v>
      </c>
      <c r="E50" t="str" cm="1">
        <f t="array" ref="E50">insertinto(A50:D50,$F$2:$G$5,"pr_Projects_Results")</f>
        <v>insert into pr_Projects_Results values ('20220731', 'P-0699', 98, '31-Mar-2023');</v>
      </c>
      <c r="H50">
        <v>48</v>
      </c>
    </row>
    <row r="51" spans="1:8" x14ac:dyDescent="0.15">
      <c r="A51">
        <f t="shared" si="0"/>
        <v>20220731</v>
      </c>
      <c r="B51" t="str">
        <f t="shared" si="1"/>
        <v>P-0092</v>
      </c>
      <c r="C51" s="27">
        <v>88</v>
      </c>
      <c r="D51">
        <v>45085</v>
      </c>
      <c r="E51" t="str" cm="1">
        <f t="array" ref="E51">insertinto(A51:D51,$F$2:$G$5,"pr_Projects_Results")</f>
        <v>insert into pr_Projects_Results values ('20220731', 'P-0092', 88, '08-Jun-2023');</v>
      </c>
      <c r="H51">
        <v>49</v>
      </c>
    </row>
    <row r="52" spans="1:8" x14ac:dyDescent="0.15">
      <c r="A52">
        <f t="shared" si="0"/>
        <v>20220731</v>
      </c>
      <c r="B52" t="str">
        <f t="shared" si="1"/>
        <v>P-0642</v>
      </c>
      <c r="C52" s="27">
        <v>95</v>
      </c>
      <c r="D52">
        <v>45070</v>
      </c>
      <c r="E52" t="str" cm="1">
        <f t="array" ref="E52">insertinto(A52:D52,$F$2:$G$5,"pr_Projects_Results")</f>
        <v>insert into pr_Projects_Results values ('20220731', 'P-0642', 95, '24-May-2023');</v>
      </c>
      <c r="H52">
        <v>50</v>
      </c>
    </row>
    <row r="53" spans="1:8" x14ac:dyDescent="0.15">
      <c r="A53">
        <f t="shared" si="0"/>
        <v>20220731</v>
      </c>
      <c r="B53" t="str">
        <f t="shared" si="1"/>
        <v>P-0556</v>
      </c>
      <c r="C53" s="27">
        <v>96</v>
      </c>
      <c r="D53">
        <v>45085</v>
      </c>
      <c r="E53" t="str" cm="1">
        <f t="array" ref="E53">insertinto(A53:D53,$F$2:$G$5,"pr_Projects_Results")</f>
        <v>insert into pr_Projects_Results values ('20220731', 'P-0556', 96, '08-Jun-2023');</v>
      </c>
      <c r="H53">
        <v>51</v>
      </c>
    </row>
    <row r="54" spans="1:8" x14ac:dyDescent="0.15">
      <c r="A54">
        <f t="shared" si="0"/>
        <v>20220731</v>
      </c>
      <c r="B54" t="str">
        <f t="shared" si="1"/>
        <v>P-0831</v>
      </c>
      <c r="C54" s="27">
        <v>83</v>
      </c>
      <c r="D54">
        <v>45266</v>
      </c>
      <c r="E54" t="str" cm="1">
        <f t="array" ref="E54">insertinto(A54:D54,$F$2:$G$5,"pr_Projects_Results")</f>
        <v>insert into pr_Projects_Results values ('20220731', 'P-0831', 83, '06-Dec-2023');</v>
      </c>
      <c r="H54">
        <v>52</v>
      </c>
    </row>
    <row r="55" spans="1:8" x14ac:dyDescent="0.15">
      <c r="A55">
        <f t="shared" si="0"/>
        <v>20220731</v>
      </c>
      <c r="B55" t="str">
        <f t="shared" si="1"/>
        <v>P-0722</v>
      </c>
      <c r="C55" s="27">
        <v>73</v>
      </c>
      <c r="D55">
        <v>45263</v>
      </c>
      <c r="E55" t="str" cm="1">
        <f t="array" ref="E55">insertinto(A55:D55,$F$2:$G$5,"pr_Projects_Results")</f>
        <v>insert into pr_Projects_Results values ('20220731', 'P-0722', 73, '03-Dec-2023');</v>
      </c>
      <c r="H55">
        <v>53</v>
      </c>
    </row>
    <row r="56" spans="1:8" x14ac:dyDescent="0.15">
      <c r="A56">
        <f t="shared" si="0"/>
        <v>20220731</v>
      </c>
      <c r="B56" t="str">
        <f t="shared" si="1"/>
        <v>P-0745</v>
      </c>
      <c r="C56" s="27">
        <v>85</v>
      </c>
      <c r="D56">
        <v>45236</v>
      </c>
      <c r="E56" t="str" cm="1">
        <f t="array" ref="E56">insertinto(A56:D56,$F$2:$G$5,"pr_Projects_Results")</f>
        <v>insert into pr_Projects_Results values ('20220731', 'P-0745', 85, '06-Nov-2023');</v>
      </c>
      <c r="H56">
        <v>54</v>
      </c>
    </row>
    <row r="57" spans="1:8" x14ac:dyDescent="0.15">
      <c r="A57">
        <f t="shared" si="0"/>
        <v>20220731</v>
      </c>
      <c r="B57" t="str">
        <f t="shared" si="1"/>
        <v>P-0579</v>
      </c>
      <c r="C57" s="27">
        <v>79</v>
      </c>
      <c r="D57">
        <v>45256</v>
      </c>
      <c r="E57" t="str" cm="1">
        <f t="array" ref="E57">insertinto(A57:D57,$F$2:$G$5,"pr_Projects_Results")</f>
        <v>insert into pr_Projects_Results values ('20220731', 'P-0579', 79, '26-Nov-2023');</v>
      </c>
      <c r="H57">
        <v>55</v>
      </c>
    </row>
    <row r="58" spans="1:8" x14ac:dyDescent="0.15">
      <c r="A58">
        <f t="shared" si="0"/>
        <v>20227092</v>
      </c>
      <c r="B58" t="str">
        <f t="shared" si="1"/>
        <v>P-0965</v>
      </c>
      <c r="C58" s="27">
        <v>72</v>
      </c>
      <c r="D58">
        <v>44893</v>
      </c>
      <c r="E58" t="str" cm="1">
        <f t="array" ref="E58">insertinto(A58:D58,$F$2:$G$5,"pr_Projects_Results")</f>
        <v>insert into pr_Projects_Results values ('20227092', 'P-0965', 72, '28-Nov-2022');</v>
      </c>
      <c r="H58">
        <v>56</v>
      </c>
    </row>
    <row r="59" spans="1:8" x14ac:dyDescent="0.15">
      <c r="A59">
        <f t="shared" si="0"/>
        <v>20227092</v>
      </c>
      <c r="B59" t="str">
        <f t="shared" si="1"/>
        <v>P-0416</v>
      </c>
      <c r="C59" s="27">
        <v>75</v>
      </c>
      <c r="D59">
        <v>44891</v>
      </c>
      <c r="E59" t="str" cm="1">
        <f t="array" ref="E59">insertinto(A59:D59,$F$2:$G$5,"pr_Projects_Results")</f>
        <v>insert into pr_Projects_Results values ('20227092', 'P-0416', 75, '26-Nov-2022');</v>
      </c>
      <c r="H59">
        <v>57</v>
      </c>
    </row>
    <row r="60" spans="1:8" x14ac:dyDescent="0.15">
      <c r="A60">
        <f t="shared" si="0"/>
        <v>20227092</v>
      </c>
      <c r="B60" t="str">
        <f t="shared" si="1"/>
        <v>P-0834</v>
      </c>
      <c r="C60" s="27">
        <v>99</v>
      </c>
      <c r="D60">
        <v>44893</v>
      </c>
      <c r="E60" t="str" cm="1">
        <f t="array" ref="E60">insertinto(A60:D60,$F$2:$G$5,"pr_Projects_Results")</f>
        <v>insert into pr_Projects_Results values ('20227092', 'P-0834', 99, '28-Nov-2022');</v>
      </c>
      <c r="H60">
        <v>58</v>
      </c>
    </row>
    <row r="61" spans="1:8" x14ac:dyDescent="0.15">
      <c r="A61">
        <f t="shared" si="0"/>
        <v>20227092</v>
      </c>
      <c r="B61" t="str">
        <f t="shared" si="1"/>
        <v>P-0665</v>
      </c>
      <c r="C61" s="27">
        <v>71</v>
      </c>
      <c r="D61">
        <v>45014</v>
      </c>
      <c r="E61" t="str" cm="1">
        <f t="array" ref="E61">insertinto(A61:D61,$F$2:$G$5,"pr_Projects_Results")</f>
        <v>insert into pr_Projects_Results values ('20227092', 'P-0665', 71, '29-Mar-2023');</v>
      </c>
      <c r="H61">
        <v>59</v>
      </c>
    </row>
    <row r="62" spans="1:8" x14ac:dyDescent="0.15">
      <c r="A62">
        <f t="shared" si="0"/>
        <v>20227092</v>
      </c>
      <c r="B62" t="str">
        <f t="shared" si="1"/>
        <v>P-0683</v>
      </c>
      <c r="C62" s="27">
        <v>80</v>
      </c>
      <c r="D62">
        <v>45014</v>
      </c>
      <c r="E62" t="str" cm="1">
        <f t="array" ref="E62">insertinto(A62:D62,$F$2:$G$5,"pr_Projects_Results")</f>
        <v>insert into pr_Projects_Results values ('20227092', 'P-0683', 80, '29-Mar-2023');</v>
      </c>
      <c r="H62">
        <v>60</v>
      </c>
    </row>
    <row r="63" spans="1:8" x14ac:dyDescent="0.15">
      <c r="A63">
        <f t="shared" si="0"/>
        <v>20227092</v>
      </c>
      <c r="B63" t="str">
        <f t="shared" si="1"/>
        <v>P-0575</v>
      </c>
      <c r="C63" s="27">
        <v>83</v>
      </c>
      <c r="D63">
        <v>45011</v>
      </c>
      <c r="E63" t="str" cm="1">
        <f t="array" ref="E63">insertinto(A63:D63,$F$2:$G$5,"pr_Projects_Results")</f>
        <v>insert into pr_Projects_Results values ('20227092', 'P-0575', 83, '26-Mar-2023');</v>
      </c>
      <c r="H63">
        <v>61</v>
      </c>
    </row>
    <row r="64" spans="1:8" x14ac:dyDescent="0.15">
      <c r="A64">
        <f t="shared" si="0"/>
        <v>20227092</v>
      </c>
      <c r="B64" t="str">
        <f t="shared" si="1"/>
        <v>P-0699</v>
      </c>
      <c r="C64" s="27">
        <v>84</v>
      </c>
      <c r="D64">
        <v>45012</v>
      </c>
      <c r="E64" t="str" cm="1">
        <f t="array" ref="E64">insertinto(A64:D64,$F$2:$G$5,"pr_Projects_Results")</f>
        <v>insert into pr_Projects_Results values ('20227092', 'P-0699', 84, '27-Mar-2023');</v>
      </c>
      <c r="H64">
        <v>62</v>
      </c>
    </row>
    <row r="65" spans="1:8" x14ac:dyDescent="0.15">
      <c r="A65">
        <f t="shared" si="0"/>
        <v>20227092</v>
      </c>
      <c r="B65" t="str">
        <f t="shared" si="1"/>
        <v>P-0092</v>
      </c>
      <c r="C65" s="27">
        <v>82</v>
      </c>
      <c r="D65">
        <v>45087</v>
      </c>
      <c r="E65" t="str" cm="1">
        <f t="array" ref="E65">insertinto(A65:D65,$F$2:$G$5,"pr_Projects_Results")</f>
        <v>insert into pr_Projects_Results values ('20227092', 'P-0092', 82, '10-Jun-2023');</v>
      </c>
      <c r="H65">
        <v>63</v>
      </c>
    </row>
    <row r="66" spans="1:8" x14ac:dyDescent="0.15">
      <c r="A66">
        <f t="shared" ref="A66:A129" si="2">INDEX($I$2:$I$51,INT(H66/14)+1)</f>
        <v>20227092</v>
      </c>
      <c r="B66" t="str">
        <f t="shared" ref="B66:B129" si="3">INDEX($J$2:$J$15,MOD(H66,14)+1)</f>
        <v>P-0642</v>
      </c>
      <c r="C66" s="27">
        <v>72</v>
      </c>
      <c r="D66">
        <v>45071</v>
      </c>
      <c r="E66" t="str" cm="1">
        <f t="array" ref="E66">insertinto(A66:D66,$F$2:$G$5,"pr_Projects_Results")</f>
        <v>insert into pr_Projects_Results values ('20227092', 'P-0642', 72, '25-May-2023');</v>
      </c>
      <c r="H66">
        <v>64</v>
      </c>
    </row>
    <row r="67" spans="1:8" x14ac:dyDescent="0.15">
      <c r="A67">
        <f t="shared" si="2"/>
        <v>20227092</v>
      </c>
      <c r="B67" t="str">
        <f t="shared" si="3"/>
        <v>P-0556</v>
      </c>
      <c r="C67" s="27">
        <v>95</v>
      </c>
      <c r="D67">
        <v>45083</v>
      </c>
      <c r="E67" t="str" cm="1">
        <f t="array" ref="E67">insertinto(A67:D67,$F$2:$G$5,"pr_Projects_Results")</f>
        <v>insert into pr_Projects_Results values ('20227092', 'P-0556', 95, '06-Jun-2023');</v>
      </c>
      <c r="H67">
        <v>65</v>
      </c>
    </row>
    <row r="68" spans="1:8" x14ac:dyDescent="0.15">
      <c r="A68">
        <f t="shared" si="2"/>
        <v>20227092</v>
      </c>
      <c r="B68" t="str">
        <f t="shared" si="3"/>
        <v>P-0831</v>
      </c>
      <c r="C68" s="27">
        <v>74</v>
      </c>
      <c r="D68">
        <v>45266</v>
      </c>
      <c r="E68" t="str" cm="1">
        <f t="array" ref="E68">insertinto(A68:D68,$F$2:$G$5,"pr_Projects_Results")</f>
        <v>insert into pr_Projects_Results values ('20227092', 'P-0831', 74, '06-Dec-2023');</v>
      </c>
      <c r="H68">
        <v>66</v>
      </c>
    </row>
    <row r="69" spans="1:8" x14ac:dyDescent="0.15">
      <c r="A69">
        <f t="shared" si="2"/>
        <v>20227092</v>
      </c>
      <c r="B69" t="str">
        <f t="shared" si="3"/>
        <v>P-0722</v>
      </c>
      <c r="C69" s="27">
        <v>95</v>
      </c>
      <c r="D69">
        <v>45264</v>
      </c>
      <c r="E69" t="str" cm="1">
        <f t="array" ref="E69">insertinto(A69:D69,$F$2:$G$5,"pr_Projects_Results")</f>
        <v>insert into pr_Projects_Results values ('20227092', 'P-0722', 95, '04-Dec-2023');</v>
      </c>
      <c r="H69">
        <v>67</v>
      </c>
    </row>
    <row r="70" spans="1:8" x14ac:dyDescent="0.15">
      <c r="A70">
        <f t="shared" si="2"/>
        <v>20227092</v>
      </c>
      <c r="B70" t="str">
        <f t="shared" si="3"/>
        <v>P-0745</v>
      </c>
      <c r="C70" s="27">
        <v>82</v>
      </c>
      <c r="D70">
        <v>45238</v>
      </c>
      <c r="E70" t="str" cm="1">
        <f t="array" ref="E70">insertinto(A70:D70,$F$2:$G$5,"pr_Projects_Results")</f>
        <v>insert into pr_Projects_Results values ('20227092', 'P-0745', 82, '08-Nov-2023');</v>
      </c>
      <c r="H70">
        <v>68</v>
      </c>
    </row>
    <row r="71" spans="1:8" x14ac:dyDescent="0.15">
      <c r="A71">
        <f t="shared" si="2"/>
        <v>20227092</v>
      </c>
      <c r="B71" t="str">
        <f t="shared" si="3"/>
        <v>P-0579</v>
      </c>
      <c r="C71" s="27">
        <v>91</v>
      </c>
      <c r="D71">
        <v>45258</v>
      </c>
      <c r="E71" t="str" cm="1">
        <f t="array" ref="E71">insertinto(A71:D71,$F$2:$G$5,"pr_Projects_Results")</f>
        <v>insert into pr_Projects_Results values ('20227092', 'P-0579', 91, '28-Nov-2023');</v>
      </c>
      <c r="H71">
        <v>69</v>
      </c>
    </row>
    <row r="72" spans="1:8" x14ac:dyDescent="0.15">
      <c r="A72">
        <f t="shared" si="2"/>
        <v>20226184</v>
      </c>
      <c r="B72" t="str">
        <f t="shared" si="3"/>
        <v>P-0965</v>
      </c>
      <c r="C72" s="27">
        <v>57</v>
      </c>
      <c r="D72">
        <v>44891</v>
      </c>
      <c r="E72" t="str" cm="1">
        <f t="array" ref="E72">insertinto(A72:D72,$F$2:$G$5,"pr_Projects_Results")</f>
        <v>insert into pr_Projects_Results values ('20226184', 'P-0965', 57, '26-Nov-2022');</v>
      </c>
      <c r="H72">
        <v>70</v>
      </c>
    </row>
    <row r="73" spans="1:8" x14ac:dyDescent="0.15">
      <c r="A73">
        <f t="shared" si="2"/>
        <v>20226184</v>
      </c>
      <c r="B73" t="str">
        <f t="shared" si="3"/>
        <v>P-0416</v>
      </c>
      <c r="C73" s="27">
        <v>57</v>
      </c>
      <c r="D73">
        <v>44891</v>
      </c>
      <c r="E73" t="str" cm="1">
        <f t="array" ref="E73">insertinto(A73:D73,$F$2:$G$5,"pr_Projects_Results")</f>
        <v>insert into pr_Projects_Results values ('20226184', 'P-0416', 57, '26-Nov-2022');</v>
      </c>
      <c r="H73">
        <v>71</v>
      </c>
    </row>
    <row r="74" spans="1:8" x14ac:dyDescent="0.15">
      <c r="A74">
        <f t="shared" si="2"/>
        <v>20226184</v>
      </c>
      <c r="B74" t="str">
        <f t="shared" si="3"/>
        <v>P-0834</v>
      </c>
      <c r="C74" s="27">
        <v>57</v>
      </c>
      <c r="D74">
        <v>44890</v>
      </c>
      <c r="E74" t="str" cm="1">
        <f t="array" ref="E74">insertinto(A74:D74,$F$2:$G$5,"pr_Projects_Results")</f>
        <v>insert into pr_Projects_Results values ('20226184', 'P-0834', 57, '25-Nov-2022');</v>
      </c>
      <c r="H74">
        <v>72</v>
      </c>
    </row>
    <row r="75" spans="1:8" x14ac:dyDescent="0.15">
      <c r="A75">
        <f t="shared" si="2"/>
        <v>20226184</v>
      </c>
      <c r="B75" t="str">
        <f t="shared" si="3"/>
        <v>P-0665</v>
      </c>
      <c r="C75" s="27">
        <v>58</v>
      </c>
      <c r="D75">
        <v>45014</v>
      </c>
      <c r="E75" t="str" cm="1">
        <f t="array" ref="E75">insertinto(A75:D75,$F$2:$G$5,"pr_Projects_Results")</f>
        <v>insert into pr_Projects_Results values ('20226184', 'P-0665', 58, '29-Mar-2023');</v>
      </c>
      <c r="H75">
        <v>73</v>
      </c>
    </row>
    <row r="76" spans="1:8" x14ac:dyDescent="0.15">
      <c r="A76">
        <f t="shared" si="2"/>
        <v>20226184</v>
      </c>
      <c r="B76" t="str">
        <f t="shared" si="3"/>
        <v>P-0683</v>
      </c>
      <c r="C76" s="27">
        <v>61</v>
      </c>
      <c r="D76">
        <v>45008</v>
      </c>
      <c r="E76" t="str" cm="1">
        <f t="array" ref="E76">insertinto(A76:D76,$F$2:$G$5,"pr_Projects_Results")</f>
        <v>insert into pr_Projects_Results values ('20226184', 'P-0683', 61, '23-Mar-2023');</v>
      </c>
      <c r="H76">
        <v>74</v>
      </c>
    </row>
    <row r="77" spans="1:8" x14ac:dyDescent="0.15">
      <c r="A77">
        <f t="shared" si="2"/>
        <v>20226184</v>
      </c>
      <c r="B77" t="str">
        <f t="shared" si="3"/>
        <v>P-0575</v>
      </c>
      <c r="C77" s="27">
        <v>73</v>
      </c>
      <c r="D77">
        <v>45016</v>
      </c>
      <c r="E77" t="str" cm="1">
        <f t="array" ref="E77">insertinto(A77:D77,$F$2:$G$5,"pr_Projects_Results")</f>
        <v>insert into pr_Projects_Results values ('20226184', 'P-0575', 73, '31-Mar-2023');</v>
      </c>
      <c r="H77">
        <v>75</v>
      </c>
    </row>
    <row r="78" spans="1:8" x14ac:dyDescent="0.15">
      <c r="A78">
        <f t="shared" si="2"/>
        <v>20226184</v>
      </c>
      <c r="B78" t="str">
        <f t="shared" si="3"/>
        <v>P-0699</v>
      </c>
      <c r="C78" s="27">
        <v>73</v>
      </c>
      <c r="D78">
        <v>45016</v>
      </c>
      <c r="E78" t="str" cm="1">
        <f t="array" ref="E78">insertinto(A78:D78,$F$2:$G$5,"pr_Projects_Results")</f>
        <v>insert into pr_Projects_Results values ('20226184', 'P-0699', 73, '31-Mar-2023');</v>
      </c>
      <c r="H78">
        <v>76</v>
      </c>
    </row>
    <row r="79" spans="1:8" x14ac:dyDescent="0.15">
      <c r="A79">
        <f t="shared" si="2"/>
        <v>20226184</v>
      </c>
      <c r="B79" t="str">
        <f t="shared" si="3"/>
        <v>P-0092</v>
      </c>
      <c r="C79" s="27">
        <v>75</v>
      </c>
      <c r="D79">
        <v>45088</v>
      </c>
      <c r="E79" t="str" cm="1">
        <f t="array" ref="E79">insertinto(A79:D79,$F$2:$G$5,"pr_Projects_Results")</f>
        <v>insert into pr_Projects_Results values ('20226184', 'P-0092', 75, '11-Jun-2023');</v>
      </c>
      <c r="H79">
        <v>77</v>
      </c>
    </row>
    <row r="80" spans="1:8" x14ac:dyDescent="0.15">
      <c r="A80">
        <f t="shared" si="2"/>
        <v>20226184</v>
      </c>
      <c r="B80" t="str">
        <f t="shared" si="3"/>
        <v>P-0642</v>
      </c>
      <c r="C80" s="27">
        <v>63</v>
      </c>
      <c r="D80">
        <v>45072</v>
      </c>
      <c r="E80" t="str" cm="1">
        <f t="array" ref="E80">insertinto(A80:D80,$F$2:$G$5,"pr_Projects_Results")</f>
        <v>insert into pr_Projects_Results values ('20226184', 'P-0642', 63, '26-May-2023');</v>
      </c>
      <c r="H80">
        <v>78</v>
      </c>
    </row>
    <row r="81" spans="1:8" x14ac:dyDescent="0.15">
      <c r="A81">
        <f t="shared" si="2"/>
        <v>20226184</v>
      </c>
      <c r="B81" t="str">
        <f t="shared" si="3"/>
        <v>P-0556</v>
      </c>
      <c r="C81" s="27">
        <v>66</v>
      </c>
      <c r="D81">
        <v>45089</v>
      </c>
      <c r="E81" t="str" cm="1">
        <f t="array" ref="E81">insertinto(A81:D81,$F$2:$G$5,"pr_Projects_Results")</f>
        <v>insert into pr_Projects_Results values ('20226184', 'P-0556', 66, '12-Jun-2023');</v>
      </c>
      <c r="H81">
        <v>79</v>
      </c>
    </row>
    <row r="82" spans="1:8" x14ac:dyDescent="0.15">
      <c r="A82">
        <f t="shared" si="2"/>
        <v>20226184</v>
      </c>
      <c r="B82" t="str">
        <f t="shared" si="3"/>
        <v>P-0831</v>
      </c>
      <c r="C82" s="27">
        <v>60</v>
      </c>
      <c r="D82">
        <v>45267</v>
      </c>
      <c r="E82" t="str" cm="1">
        <f t="array" ref="E82">insertinto(A82:D82,$F$2:$G$5,"pr_Projects_Results")</f>
        <v>insert into pr_Projects_Results values ('20226184', 'P-0831', 60, '07-Dec-2023');</v>
      </c>
      <c r="H82">
        <v>80</v>
      </c>
    </row>
    <row r="83" spans="1:8" x14ac:dyDescent="0.15">
      <c r="A83">
        <f t="shared" si="2"/>
        <v>20226184</v>
      </c>
      <c r="B83" t="str">
        <f t="shared" si="3"/>
        <v>P-0722</v>
      </c>
      <c r="C83" s="27">
        <v>62</v>
      </c>
      <c r="D83">
        <v>45264</v>
      </c>
      <c r="E83" t="str" cm="1">
        <f t="array" ref="E83">insertinto(A83:D83,$F$2:$G$5,"pr_Projects_Results")</f>
        <v>insert into pr_Projects_Results values ('20226184', 'P-0722', 62, '04-Dec-2023');</v>
      </c>
      <c r="H83">
        <v>81</v>
      </c>
    </row>
    <row r="84" spans="1:8" x14ac:dyDescent="0.15">
      <c r="A84">
        <f t="shared" si="2"/>
        <v>20226184</v>
      </c>
      <c r="B84" t="str">
        <f t="shared" si="3"/>
        <v>P-0745</v>
      </c>
      <c r="C84" s="27">
        <v>63</v>
      </c>
      <c r="D84">
        <v>45236</v>
      </c>
      <c r="E84" t="str" cm="1">
        <f t="array" ref="E84">insertinto(A84:D84,$F$2:$G$5,"pr_Projects_Results")</f>
        <v>insert into pr_Projects_Results values ('20226184', 'P-0745', 63, '06-Nov-2023');</v>
      </c>
      <c r="H84">
        <v>82</v>
      </c>
    </row>
    <row r="85" spans="1:8" x14ac:dyDescent="0.15">
      <c r="A85">
        <f t="shared" si="2"/>
        <v>20226184</v>
      </c>
      <c r="B85" t="str">
        <f t="shared" si="3"/>
        <v>P-0579</v>
      </c>
      <c r="C85" s="27">
        <v>73</v>
      </c>
      <c r="D85">
        <v>45253</v>
      </c>
      <c r="E85" t="str" cm="1">
        <f t="array" ref="E85">insertinto(A85:D85,$F$2:$G$5,"pr_Projects_Results")</f>
        <v>insert into pr_Projects_Results values ('20226184', 'P-0579', 73, '23-Nov-2023');</v>
      </c>
      <c r="H85">
        <v>83</v>
      </c>
    </row>
    <row r="86" spans="1:8" x14ac:dyDescent="0.15">
      <c r="A86">
        <f t="shared" si="2"/>
        <v>20229558</v>
      </c>
      <c r="B86" t="str">
        <f t="shared" si="3"/>
        <v>P-0965</v>
      </c>
      <c r="C86" s="27">
        <v>59</v>
      </c>
      <c r="D86">
        <v>44897</v>
      </c>
      <c r="E86" t="str" cm="1">
        <f t="array" ref="E86">insertinto(A86:D86,$F$2:$G$5,"pr_Projects_Results")</f>
        <v>insert into pr_Projects_Results values ('20229558', 'P-0965', 59, '02-Dec-2022');</v>
      </c>
      <c r="H86">
        <v>84</v>
      </c>
    </row>
    <row r="87" spans="1:8" x14ac:dyDescent="0.15">
      <c r="A87">
        <f t="shared" si="2"/>
        <v>20229558</v>
      </c>
      <c r="B87" t="str">
        <f t="shared" si="3"/>
        <v>P-0416</v>
      </c>
      <c r="C87" s="27">
        <v>57</v>
      </c>
      <c r="D87">
        <v>44895</v>
      </c>
      <c r="E87" t="str" cm="1">
        <f t="array" ref="E87">insertinto(A87:D87,$F$2:$G$5,"pr_Projects_Results")</f>
        <v>insert into pr_Projects_Results values ('20229558', 'P-0416', 57, '30-Nov-2022');</v>
      </c>
      <c r="H87">
        <v>85</v>
      </c>
    </row>
    <row r="88" spans="1:8" x14ac:dyDescent="0.15">
      <c r="A88">
        <f t="shared" si="2"/>
        <v>20229558</v>
      </c>
      <c r="B88" t="str">
        <f t="shared" si="3"/>
        <v>P-0834</v>
      </c>
      <c r="C88" s="27">
        <v>74</v>
      </c>
      <c r="D88">
        <v>44895</v>
      </c>
      <c r="E88" t="str" cm="1">
        <f t="array" ref="E88">insertinto(A88:D88,$F$2:$G$5,"pr_Projects_Results")</f>
        <v>insert into pr_Projects_Results values ('20229558', 'P-0834', 74, '30-Nov-2022');</v>
      </c>
      <c r="H88">
        <v>86</v>
      </c>
    </row>
    <row r="89" spans="1:8" x14ac:dyDescent="0.15">
      <c r="A89">
        <f t="shared" si="2"/>
        <v>20229558</v>
      </c>
      <c r="B89" t="str">
        <f t="shared" si="3"/>
        <v>P-0665</v>
      </c>
      <c r="C89" s="27">
        <v>59</v>
      </c>
      <c r="D89">
        <v>45063</v>
      </c>
      <c r="E89" t="str" cm="1">
        <f t="array" ref="E89">insertinto(A89:D89,$F$2:$G$5,"pr_Projects_Results")</f>
        <v>insert into pr_Projects_Results values ('20229558', 'P-0665', 59, '17-May-2023');</v>
      </c>
      <c r="H89">
        <v>87</v>
      </c>
    </row>
    <row r="90" spans="1:8" x14ac:dyDescent="0.15">
      <c r="A90">
        <f t="shared" si="2"/>
        <v>20229558</v>
      </c>
      <c r="B90" t="str">
        <f t="shared" si="3"/>
        <v>P-0683</v>
      </c>
      <c r="C90" s="27">
        <v>73</v>
      </c>
      <c r="D90">
        <v>45010</v>
      </c>
      <c r="E90" t="str" cm="1">
        <f t="array" ref="E90">insertinto(A90:D90,$F$2:$G$5,"pr_Projects_Results")</f>
        <v>insert into pr_Projects_Results values ('20229558', 'P-0683', 73, '25-Mar-2023');</v>
      </c>
      <c r="H90">
        <v>88</v>
      </c>
    </row>
    <row r="91" spans="1:8" x14ac:dyDescent="0.15">
      <c r="A91">
        <f t="shared" si="2"/>
        <v>20229558</v>
      </c>
      <c r="B91" t="str">
        <f t="shared" si="3"/>
        <v>P-0575</v>
      </c>
      <c r="C91" s="27">
        <v>71</v>
      </c>
      <c r="D91">
        <v>45015</v>
      </c>
      <c r="E91" t="str" cm="1">
        <f t="array" ref="E91">insertinto(A91:D91,$F$2:$G$5,"pr_Projects_Results")</f>
        <v>insert into pr_Projects_Results values ('20229558', 'P-0575', 71, '30-Mar-2023');</v>
      </c>
      <c r="H91">
        <v>89</v>
      </c>
    </row>
    <row r="92" spans="1:8" x14ac:dyDescent="0.15">
      <c r="A92">
        <f t="shared" si="2"/>
        <v>20229558</v>
      </c>
      <c r="B92" t="str">
        <f t="shared" si="3"/>
        <v>P-0699</v>
      </c>
      <c r="C92" s="27">
        <v>69</v>
      </c>
      <c r="D92">
        <v>45012</v>
      </c>
      <c r="E92" t="str" cm="1">
        <f t="array" ref="E92">insertinto(A92:D92,$F$2:$G$5,"pr_Projects_Results")</f>
        <v>insert into pr_Projects_Results values ('20229558', 'P-0699', 69, '27-Mar-2023');</v>
      </c>
      <c r="H92">
        <v>90</v>
      </c>
    </row>
    <row r="93" spans="1:8" x14ac:dyDescent="0.15">
      <c r="A93">
        <f t="shared" si="2"/>
        <v>20229558</v>
      </c>
      <c r="B93" t="str">
        <f t="shared" si="3"/>
        <v>P-0092</v>
      </c>
      <c r="C93" s="27">
        <v>75</v>
      </c>
      <c r="D93">
        <v>45090</v>
      </c>
      <c r="E93" t="str" cm="1">
        <f t="array" ref="E93">insertinto(A93:D93,$F$2:$G$5,"pr_Projects_Results")</f>
        <v>insert into pr_Projects_Results values ('20229558', 'P-0092', 75, '13-Jun-2023');</v>
      </c>
      <c r="H93">
        <v>91</v>
      </c>
    </row>
    <row r="94" spans="1:8" x14ac:dyDescent="0.15">
      <c r="A94">
        <f t="shared" si="2"/>
        <v>20229558</v>
      </c>
      <c r="B94" t="str">
        <f t="shared" si="3"/>
        <v>P-0642</v>
      </c>
      <c r="C94" s="27">
        <v>72</v>
      </c>
      <c r="D94">
        <v>45067</v>
      </c>
      <c r="E94" t="str" cm="1">
        <f t="array" ref="E94">insertinto(A94:D94,$F$2:$G$5,"pr_Projects_Results")</f>
        <v>insert into pr_Projects_Results values ('20229558', 'P-0642', 72, '21-May-2023');</v>
      </c>
      <c r="H94">
        <v>92</v>
      </c>
    </row>
    <row r="95" spans="1:8" x14ac:dyDescent="0.15">
      <c r="A95">
        <f t="shared" si="2"/>
        <v>20229558</v>
      </c>
      <c r="B95" t="str">
        <f t="shared" si="3"/>
        <v>P-0556</v>
      </c>
      <c r="C95" s="27">
        <v>67</v>
      </c>
      <c r="D95">
        <v>45083</v>
      </c>
      <c r="E95" t="str" cm="1">
        <f t="array" ref="E95">insertinto(A95:D95,$F$2:$G$5,"pr_Projects_Results")</f>
        <v>insert into pr_Projects_Results values ('20229558', 'P-0556', 67, '06-Jun-2023');</v>
      </c>
      <c r="H95">
        <v>93</v>
      </c>
    </row>
    <row r="96" spans="1:8" x14ac:dyDescent="0.15">
      <c r="A96">
        <f t="shared" si="2"/>
        <v>20229558</v>
      </c>
      <c r="B96" t="str">
        <f t="shared" si="3"/>
        <v>P-0831</v>
      </c>
      <c r="C96" s="27">
        <v>74</v>
      </c>
      <c r="D96">
        <v>45266</v>
      </c>
      <c r="E96" t="str" cm="1">
        <f t="array" ref="E96">insertinto(A96:D96,$F$2:$G$5,"pr_Projects_Results")</f>
        <v>insert into pr_Projects_Results values ('20229558', 'P-0831', 74, '06-Dec-2023');</v>
      </c>
      <c r="H96">
        <v>94</v>
      </c>
    </row>
    <row r="97" spans="1:8" x14ac:dyDescent="0.15">
      <c r="A97">
        <f t="shared" si="2"/>
        <v>20229558</v>
      </c>
      <c r="B97" t="str">
        <f t="shared" si="3"/>
        <v>P-0722</v>
      </c>
      <c r="C97" s="27">
        <v>55</v>
      </c>
      <c r="D97">
        <v>45265</v>
      </c>
      <c r="E97" t="str" cm="1">
        <f t="array" ref="E97">insertinto(A97:D97,$F$2:$G$5,"pr_Projects_Results")</f>
        <v>insert into pr_Projects_Results values ('20229558', 'P-0722', 55, '05-Dec-2023');</v>
      </c>
      <c r="H97">
        <v>95</v>
      </c>
    </row>
    <row r="98" spans="1:8" x14ac:dyDescent="0.15">
      <c r="A98">
        <f t="shared" si="2"/>
        <v>20229558</v>
      </c>
      <c r="B98" t="str">
        <f t="shared" si="3"/>
        <v>P-0745</v>
      </c>
      <c r="C98" s="27">
        <v>67</v>
      </c>
      <c r="D98">
        <v>45238</v>
      </c>
      <c r="E98" t="str" cm="1">
        <f t="array" ref="E98">insertinto(A98:D98,$F$2:$G$5,"pr_Projects_Results")</f>
        <v>insert into pr_Projects_Results values ('20229558', 'P-0745', 67, '08-Nov-2023');</v>
      </c>
      <c r="H98">
        <v>96</v>
      </c>
    </row>
    <row r="99" spans="1:8" x14ac:dyDescent="0.15">
      <c r="A99">
        <f t="shared" si="2"/>
        <v>20229558</v>
      </c>
      <c r="B99" t="str">
        <f t="shared" si="3"/>
        <v>P-0579</v>
      </c>
      <c r="C99" s="27">
        <v>67</v>
      </c>
      <c r="D99">
        <v>45256</v>
      </c>
      <c r="E99" t="str" cm="1">
        <f t="array" ref="E99">insertinto(A99:D99,$F$2:$G$5,"pr_Projects_Results")</f>
        <v>insert into pr_Projects_Results values ('20229558', 'P-0579', 67, '26-Nov-2023');</v>
      </c>
      <c r="H99">
        <v>97</v>
      </c>
    </row>
    <row r="100" spans="1:8" x14ac:dyDescent="0.15">
      <c r="A100">
        <f t="shared" si="2"/>
        <v>20228839</v>
      </c>
      <c r="B100" t="str">
        <f t="shared" si="3"/>
        <v>P-0965</v>
      </c>
      <c r="C100" s="27">
        <v>58</v>
      </c>
      <c r="D100">
        <v>44897</v>
      </c>
      <c r="E100" t="str" cm="1">
        <f t="array" ref="E100">insertinto(A100:D100,$F$2:$G$5,"pr_Projects_Results")</f>
        <v>insert into pr_Projects_Results values ('20228839', 'P-0965', 58, '02-Dec-2022');</v>
      </c>
      <c r="H100">
        <v>98</v>
      </c>
    </row>
    <row r="101" spans="1:8" x14ac:dyDescent="0.15">
      <c r="A101">
        <f t="shared" si="2"/>
        <v>20228839</v>
      </c>
      <c r="B101" t="str">
        <f t="shared" si="3"/>
        <v>P-0416</v>
      </c>
      <c r="C101" s="27">
        <v>72</v>
      </c>
      <c r="D101">
        <v>44893</v>
      </c>
      <c r="E101" t="str" cm="1">
        <f t="array" ref="E101">insertinto(A101:D101,$F$2:$G$5,"pr_Projects_Results")</f>
        <v>insert into pr_Projects_Results values ('20228839', 'P-0416', 72, '28-Nov-2022');</v>
      </c>
      <c r="H101">
        <v>99</v>
      </c>
    </row>
    <row r="102" spans="1:8" x14ac:dyDescent="0.15">
      <c r="A102">
        <f t="shared" si="2"/>
        <v>20228839</v>
      </c>
      <c r="B102" t="str">
        <f t="shared" si="3"/>
        <v>P-0834</v>
      </c>
      <c r="C102" s="27">
        <v>62</v>
      </c>
      <c r="D102">
        <v>44891</v>
      </c>
      <c r="E102" t="str" cm="1">
        <f t="array" ref="E102">insertinto(A102:D102,$F$2:$G$5,"pr_Projects_Results")</f>
        <v>insert into pr_Projects_Results values ('20228839', 'P-0834', 62, '26-Nov-2022');</v>
      </c>
      <c r="H102">
        <v>100</v>
      </c>
    </row>
    <row r="103" spans="1:8" x14ac:dyDescent="0.15">
      <c r="A103">
        <f t="shared" si="2"/>
        <v>20228839</v>
      </c>
      <c r="B103" t="str">
        <f t="shared" si="3"/>
        <v>P-0665</v>
      </c>
      <c r="C103" s="27">
        <v>60</v>
      </c>
      <c r="D103">
        <v>45012</v>
      </c>
      <c r="E103" t="str" cm="1">
        <f t="array" ref="E103">insertinto(A103:D103,$F$2:$G$5,"pr_Projects_Results")</f>
        <v>insert into pr_Projects_Results values ('20228839', 'P-0665', 60, '27-Mar-2023');</v>
      </c>
      <c r="H103">
        <v>101</v>
      </c>
    </row>
    <row r="104" spans="1:8" x14ac:dyDescent="0.15">
      <c r="A104">
        <f t="shared" si="2"/>
        <v>20228839</v>
      </c>
      <c r="B104" t="str">
        <f t="shared" si="3"/>
        <v>P-0683</v>
      </c>
      <c r="C104" s="27">
        <v>60</v>
      </c>
      <c r="D104">
        <v>45013</v>
      </c>
      <c r="E104" t="str" cm="1">
        <f t="array" ref="E104">insertinto(A104:D104,$F$2:$G$5,"pr_Projects_Results")</f>
        <v>insert into pr_Projects_Results values ('20228839', 'P-0683', 60, '28-Mar-2023');</v>
      </c>
      <c r="H104">
        <v>102</v>
      </c>
    </row>
    <row r="105" spans="1:8" x14ac:dyDescent="0.15">
      <c r="A105">
        <f t="shared" si="2"/>
        <v>20228839</v>
      </c>
      <c r="B105" t="str">
        <f t="shared" si="3"/>
        <v>P-0575</v>
      </c>
      <c r="C105" s="27">
        <v>59</v>
      </c>
      <c r="D105">
        <v>45011</v>
      </c>
      <c r="E105" t="str" cm="1">
        <f t="array" ref="E105">insertinto(A105:D105,$F$2:$G$5,"pr_Projects_Results")</f>
        <v>insert into pr_Projects_Results values ('20228839', 'P-0575', 59, '26-Mar-2023');</v>
      </c>
      <c r="H105">
        <v>103</v>
      </c>
    </row>
    <row r="106" spans="1:8" x14ac:dyDescent="0.15">
      <c r="A106">
        <f t="shared" si="2"/>
        <v>20228839</v>
      </c>
      <c r="B106" t="str">
        <f t="shared" si="3"/>
        <v>P-0699</v>
      </c>
      <c r="C106" s="27">
        <v>63</v>
      </c>
      <c r="D106">
        <v>45013</v>
      </c>
      <c r="E106" t="str" cm="1">
        <f t="array" ref="E106">insertinto(A106:D106,$F$2:$G$5,"pr_Projects_Results")</f>
        <v>insert into pr_Projects_Results values ('20228839', 'P-0699', 63, '28-Mar-2023');</v>
      </c>
      <c r="H106">
        <v>104</v>
      </c>
    </row>
    <row r="107" spans="1:8" x14ac:dyDescent="0.15">
      <c r="A107">
        <f t="shared" si="2"/>
        <v>20228839</v>
      </c>
      <c r="B107" t="str">
        <f t="shared" si="3"/>
        <v>P-0092</v>
      </c>
      <c r="C107" s="27">
        <v>67</v>
      </c>
      <c r="D107">
        <v>45087</v>
      </c>
      <c r="E107" t="str" cm="1">
        <f t="array" ref="E107">insertinto(A107:D107,$F$2:$G$5,"pr_Projects_Results")</f>
        <v>insert into pr_Projects_Results values ('20228839', 'P-0092', 67, '10-Jun-2023');</v>
      </c>
      <c r="H107">
        <v>105</v>
      </c>
    </row>
    <row r="108" spans="1:8" x14ac:dyDescent="0.15">
      <c r="A108">
        <f t="shared" si="2"/>
        <v>20228839</v>
      </c>
      <c r="B108" t="str">
        <f t="shared" si="3"/>
        <v>P-0642</v>
      </c>
      <c r="C108" s="27">
        <v>62</v>
      </c>
      <c r="D108">
        <v>45071</v>
      </c>
      <c r="E108" t="str" cm="1">
        <f t="array" ref="E108">insertinto(A108:D108,$F$2:$G$5,"pr_Projects_Results")</f>
        <v>insert into pr_Projects_Results values ('20228839', 'P-0642', 62, '25-May-2023');</v>
      </c>
      <c r="H108">
        <v>106</v>
      </c>
    </row>
    <row r="109" spans="1:8" x14ac:dyDescent="0.15">
      <c r="A109">
        <f t="shared" si="2"/>
        <v>20228839</v>
      </c>
      <c r="B109" t="str">
        <f t="shared" si="3"/>
        <v>P-0556</v>
      </c>
      <c r="C109" s="27">
        <v>74</v>
      </c>
      <c r="D109">
        <v>45087</v>
      </c>
      <c r="E109" t="str" cm="1">
        <f t="array" ref="E109">insertinto(A109:D109,$F$2:$G$5,"pr_Projects_Results")</f>
        <v>insert into pr_Projects_Results values ('20228839', 'P-0556', 74, '10-Jun-2023');</v>
      </c>
      <c r="H109">
        <v>107</v>
      </c>
    </row>
    <row r="110" spans="1:8" x14ac:dyDescent="0.15">
      <c r="A110">
        <f t="shared" si="2"/>
        <v>20228839</v>
      </c>
      <c r="B110" t="str">
        <f t="shared" si="3"/>
        <v>P-0831</v>
      </c>
      <c r="C110" s="27">
        <v>62</v>
      </c>
      <c r="D110">
        <v>45266</v>
      </c>
      <c r="E110" t="str" cm="1">
        <f t="array" ref="E110">insertinto(A110:D110,$F$2:$G$5,"pr_Projects_Results")</f>
        <v>insert into pr_Projects_Results values ('20228839', 'P-0831', 62, '06-Dec-2023');</v>
      </c>
      <c r="H110">
        <v>108</v>
      </c>
    </row>
    <row r="111" spans="1:8" x14ac:dyDescent="0.15">
      <c r="A111">
        <f t="shared" si="2"/>
        <v>20228839</v>
      </c>
      <c r="B111" t="str">
        <f t="shared" si="3"/>
        <v>P-0722</v>
      </c>
      <c r="C111" s="27">
        <v>68</v>
      </c>
      <c r="D111">
        <v>45263</v>
      </c>
      <c r="E111" t="str" cm="1">
        <f t="array" ref="E111">insertinto(A111:D111,$F$2:$G$5,"pr_Projects_Results")</f>
        <v>insert into pr_Projects_Results values ('20228839', 'P-0722', 68, '03-Dec-2023');</v>
      </c>
      <c r="H111">
        <v>109</v>
      </c>
    </row>
    <row r="112" spans="1:8" x14ac:dyDescent="0.15">
      <c r="A112">
        <f t="shared" si="2"/>
        <v>20228839</v>
      </c>
      <c r="B112" t="str">
        <f t="shared" si="3"/>
        <v>P-0745</v>
      </c>
      <c r="C112" s="27">
        <v>73</v>
      </c>
      <c r="D112">
        <v>45237</v>
      </c>
      <c r="E112" t="str" cm="1">
        <f t="array" ref="E112">insertinto(A112:D112,$F$2:$G$5,"pr_Projects_Results")</f>
        <v>insert into pr_Projects_Results values ('20228839', 'P-0745', 73, '07-Nov-2023');</v>
      </c>
      <c r="H112">
        <v>110</v>
      </c>
    </row>
    <row r="113" spans="1:8" x14ac:dyDescent="0.15">
      <c r="A113">
        <f t="shared" si="2"/>
        <v>20228839</v>
      </c>
      <c r="B113" t="str">
        <f t="shared" si="3"/>
        <v>P-0579</v>
      </c>
      <c r="C113" s="27">
        <v>67</v>
      </c>
      <c r="D113">
        <v>45258</v>
      </c>
      <c r="E113" t="str" cm="1">
        <f t="array" ref="E113">insertinto(A113:D113,$F$2:$G$5,"pr_Projects_Results")</f>
        <v>insert into pr_Projects_Results values ('20228839', 'P-0579', 67, '28-Nov-2023');</v>
      </c>
      <c r="H113">
        <v>111</v>
      </c>
    </row>
    <row r="114" spans="1:8" x14ac:dyDescent="0.15">
      <c r="A114">
        <f t="shared" si="2"/>
        <v>20227541</v>
      </c>
      <c r="B114" t="str">
        <f t="shared" si="3"/>
        <v>P-0965</v>
      </c>
      <c r="C114" s="27">
        <v>72</v>
      </c>
      <c r="D114">
        <v>44892</v>
      </c>
      <c r="E114" t="str" cm="1">
        <f t="array" ref="E114">insertinto(A114:D114,$F$2:$G$5,"pr_Projects_Results")</f>
        <v>insert into pr_Projects_Results values ('20227541', 'P-0965', 72, '27-Nov-2022');</v>
      </c>
      <c r="H114">
        <v>112</v>
      </c>
    </row>
    <row r="115" spans="1:8" x14ac:dyDescent="0.15">
      <c r="A115">
        <f t="shared" si="2"/>
        <v>20227541</v>
      </c>
      <c r="B115" t="str">
        <f t="shared" si="3"/>
        <v>P-0416</v>
      </c>
      <c r="C115" s="27">
        <v>69</v>
      </c>
      <c r="D115">
        <v>44896</v>
      </c>
      <c r="E115" t="str" cm="1">
        <f t="array" ref="E115">insertinto(A115:D115,$F$2:$G$5,"pr_Projects_Results")</f>
        <v>insert into pr_Projects_Results values ('20227541', 'P-0416', 69, '01-Dec-2022');</v>
      </c>
      <c r="H115">
        <v>113</v>
      </c>
    </row>
    <row r="116" spans="1:8" x14ac:dyDescent="0.15">
      <c r="A116">
        <f t="shared" si="2"/>
        <v>20227541</v>
      </c>
      <c r="B116" t="str">
        <f t="shared" si="3"/>
        <v>P-0834</v>
      </c>
      <c r="C116" s="27">
        <v>64</v>
      </c>
      <c r="D116">
        <v>44890</v>
      </c>
      <c r="E116" t="str" cm="1">
        <f t="array" ref="E116">insertinto(A116:D116,$F$2:$G$5,"pr_Projects_Results")</f>
        <v>insert into pr_Projects_Results values ('20227541', 'P-0834', 64, '25-Nov-2022');</v>
      </c>
      <c r="H116">
        <v>114</v>
      </c>
    </row>
    <row r="117" spans="1:8" x14ac:dyDescent="0.15">
      <c r="A117">
        <f t="shared" si="2"/>
        <v>20227541</v>
      </c>
      <c r="B117" t="str">
        <f t="shared" si="3"/>
        <v>P-0665</v>
      </c>
      <c r="C117" s="27">
        <v>76</v>
      </c>
      <c r="D117">
        <v>45011</v>
      </c>
      <c r="E117" t="str" cm="1">
        <f t="array" ref="E117">insertinto(A117:D117,$F$2:$G$5,"pr_Projects_Results")</f>
        <v>insert into pr_Projects_Results values ('20227541', 'P-0665', 76, '26-Mar-2023');</v>
      </c>
      <c r="H117">
        <v>115</v>
      </c>
    </row>
    <row r="118" spans="1:8" x14ac:dyDescent="0.15">
      <c r="A118">
        <f t="shared" si="2"/>
        <v>20227541</v>
      </c>
      <c r="B118" t="str">
        <f t="shared" si="3"/>
        <v>P-0683</v>
      </c>
      <c r="C118" s="27">
        <v>55</v>
      </c>
      <c r="D118">
        <v>45009</v>
      </c>
      <c r="E118" t="str" cm="1">
        <f t="array" ref="E118">insertinto(A118:D118,$F$2:$G$5,"pr_Projects_Results")</f>
        <v>insert into pr_Projects_Results values ('20227541', 'P-0683', 55, '24-Mar-2023');</v>
      </c>
      <c r="H118">
        <v>116</v>
      </c>
    </row>
    <row r="119" spans="1:8" x14ac:dyDescent="0.15">
      <c r="A119">
        <f t="shared" si="2"/>
        <v>20227541</v>
      </c>
      <c r="B119" t="str">
        <f t="shared" si="3"/>
        <v>P-0575</v>
      </c>
      <c r="C119" s="27">
        <v>67</v>
      </c>
      <c r="D119">
        <v>45010</v>
      </c>
      <c r="E119" t="str" cm="1">
        <f t="array" ref="E119">insertinto(A119:D119,$F$2:$G$5,"pr_Projects_Results")</f>
        <v>insert into pr_Projects_Results values ('20227541', 'P-0575', 67, '25-Mar-2023');</v>
      </c>
      <c r="H119">
        <v>117</v>
      </c>
    </row>
    <row r="120" spans="1:8" x14ac:dyDescent="0.15">
      <c r="A120">
        <f t="shared" si="2"/>
        <v>20227541</v>
      </c>
      <c r="B120" t="str">
        <f t="shared" si="3"/>
        <v>P-0699</v>
      </c>
      <c r="C120" s="27">
        <v>70</v>
      </c>
      <c r="D120">
        <v>45018</v>
      </c>
      <c r="E120" t="str" cm="1">
        <f t="array" ref="E120">insertinto(A120:D120,$F$2:$G$5,"pr_Projects_Results")</f>
        <v>insert into pr_Projects_Results values ('20227541', 'P-0699', 70, '02-Apr-2023');</v>
      </c>
      <c r="H120">
        <v>118</v>
      </c>
    </row>
    <row r="121" spans="1:8" x14ac:dyDescent="0.15">
      <c r="A121">
        <f t="shared" si="2"/>
        <v>20227541</v>
      </c>
      <c r="B121" t="str">
        <f t="shared" si="3"/>
        <v>P-0092</v>
      </c>
      <c r="C121" s="27">
        <v>64</v>
      </c>
      <c r="D121">
        <v>45086</v>
      </c>
      <c r="E121" t="str" cm="1">
        <f t="array" ref="E121">insertinto(A121:D121,$F$2:$G$5,"pr_Projects_Results")</f>
        <v>insert into pr_Projects_Results values ('20227541', 'P-0092', 64, '09-Jun-2023');</v>
      </c>
      <c r="H121">
        <v>119</v>
      </c>
    </row>
    <row r="122" spans="1:8" x14ac:dyDescent="0.15">
      <c r="A122">
        <f t="shared" si="2"/>
        <v>20227541</v>
      </c>
      <c r="B122" t="str">
        <f t="shared" si="3"/>
        <v>P-0642</v>
      </c>
      <c r="C122" s="27">
        <v>58</v>
      </c>
      <c r="D122">
        <v>45066</v>
      </c>
      <c r="E122" t="str" cm="1">
        <f t="array" ref="E122">insertinto(A122:D122,$F$2:$G$5,"pr_Projects_Results")</f>
        <v>insert into pr_Projects_Results values ('20227541', 'P-0642', 58, '20-May-2023');</v>
      </c>
      <c r="H122">
        <v>120</v>
      </c>
    </row>
    <row r="123" spans="1:8" x14ac:dyDescent="0.15">
      <c r="A123">
        <f t="shared" si="2"/>
        <v>20227541</v>
      </c>
      <c r="B123" t="str">
        <f t="shared" si="3"/>
        <v>P-0556</v>
      </c>
      <c r="C123" s="27">
        <v>73</v>
      </c>
      <c r="D123">
        <v>45089</v>
      </c>
      <c r="E123" t="str" cm="1">
        <f t="array" ref="E123">insertinto(A123:D123,$F$2:$G$5,"pr_Projects_Results")</f>
        <v>insert into pr_Projects_Results values ('20227541', 'P-0556', 73, '12-Jun-2023');</v>
      </c>
      <c r="H123">
        <v>121</v>
      </c>
    </row>
    <row r="124" spans="1:8" x14ac:dyDescent="0.15">
      <c r="A124">
        <f t="shared" si="2"/>
        <v>20227541</v>
      </c>
      <c r="B124" t="str">
        <f t="shared" si="3"/>
        <v>P-0831</v>
      </c>
      <c r="C124" s="27">
        <v>62</v>
      </c>
      <c r="D124">
        <v>45263</v>
      </c>
      <c r="E124" t="str" cm="1">
        <f t="array" ref="E124">insertinto(A124:D124,$F$2:$G$5,"pr_Projects_Results")</f>
        <v>insert into pr_Projects_Results values ('20227541', 'P-0831', 62, '03-Dec-2023');</v>
      </c>
      <c r="H124">
        <v>122</v>
      </c>
    </row>
    <row r="125" spans="1:8" x14ac:dyDescent="0.15">
      <c r="A125">
        <f t="shared" si="2"/>
        <v>20227541</v>
      </c>
      <c r="B125" t="str">
        <f t="shared" si="3"/>
        <v>P-0722</v>
      </c>
      <c r="C125" s="27">
        <v>73</v>
      </c>
      <c r="D125">
        <v>45261</v>
      </c>
      <c r="E125" t="str" cm="1">
        <f t="array" ref="E125">insertinto(A125:D125,$F$2:$G$5,"pr_Projects_Results")</f>
        <v>insert into pr_Projects_Results values ('20227541', 'P-0722', 73, '01-Dec-2023');</v>
      </c>
      <c r="H125">
        <v>123</v>
      </c>
    </row>
    <row r="126" spans="1:8" x14ac:dyDescent="0.15">
      <c r="A126">
        <f t="shared" si="2"/>
        <v>20227541</v>
      </c>
      <c r="B126" t="str">
        <f t="shared" si="3"/>
        <v>P-0745</v>
      </c>
      <c r="C126" s="27">
        <v>74</v>
      </c>
      <c r="D126">
        <v>45236</v>
      </c>
      <c r="E126" t="str" cm="1">
        <f t="array" ref="E126">insertinto(A126:D126,$F$2:$G$5,"pr_Projects_Results")</f>
        <v>insert into pr_Projects_Results values ('20227541', 'P-0745', 74, '06-Nov-2023');</v>
      </c>
      <c r="H126">
        <v>124</v>
      </c>
    </row>
    <row r="127" spans="1:8" x14ac:dyDescent="0.15">
      <c r="A127">
        <f t="shared" si="2"/>
        <v>20227541</v>
      </c>
      <c r="B127" t="str">
        <f t="shared" si="3"/>
        <v>P-0579</v>
      </c>
      <c r="C127" s="27">
        <v>76</v>
      </c>
      <c r="D127">
        <v>45257</v>
      </c>
      <c r="E127" t="str" cm="1">
        <f t="array" ref="E127">insertinto(A127:D127,$F$2:$G$5,"pr_Projects_Results")</f>
        <v>insert into pr_Projects_Results values ('20227541', 'P-0579', 76, '27-Nov-2023');</v>
      </c>
      <c r="H127">
        <v>125</v>
      </c>
    </row>
    <row r="128" spans="1:8" x14ac:dyDescent="0.15">
      <c r="A128">
        <f t="shared" si="2"/>
        <v>20227466</v>
      </c>
      <c r="B128" t="str">
        <f t="shared" si="3"/>
        <v>P-0965</v>
      </c>
      <c r="C128" s="27">
        <v>74</v>
      </c>
      <c r="D128">
        <v>44896</v>
      </c>
      <c r="E128" t="str" cm="1">
        <f t="array" ref="E128">insertinto(A128:D128,$F$2:$G$5,"pr_Projects_Results")</f>
        <v>insert into pr_Projects_Results values ('20227466', 'P-0965', 74, '01-Dec-2022');</v>
      </c>
      <c r="H128">
        <v>126</v>
      </c>
    </row>
    <row r="129" spans="1:8" x14ac:dyDescent="0.15">
      <c r="A129">
        <f t="shared" si="2"/>
        <v>20227466</v>
      </c>
      <c r="B129" t="str">
        <f t="shared" si="3"/>
        <v>P-0416</v>
      </c>
      <c r="C129" s="27">
        <v>64</v>
      </c>
      <c r="D129">
        <v>44893</v>
      </c>
      <c r="E129" t="str" cm="1">
        <f t="array" ref="E129">insertinto(A129:D129,$F$2:$G$5,"pr_Projects_Results")</f>
        <v>insert into pr_Projects_Results values ('20227466', 'P-0416', 64, '28-Nov-2022');</v>
      </c>
      <c r="H129">
        <v>127</v>
      </c>
    </row>
    <row r="130" spans="1:8" x14ac:dyDescent="0.15">
      <c r="A130">
        <f t="shared" ref="A130:A193" si="4">INDEX($I$2:$I$51,INT(H130/14)+1)</f>
        <v>20227466</v>
      </c>
      <c r="B130" t="str">
        <f t="shared" ref="B130:B193" si="5">INDEX($J$2:$J$15,MOD(H130,14)+1)</f>
        <v>P-0834</v>
      </c>
      <c r="C130" s="27">
        <v>72</v>
      </c>
      <c r="D130">
        <v>44890</v>
      </c>
      <c r="E130" t="str" cm="1">
        <f t="array" ref="E130">insertinto(A130:D130,$F$2:$G$5,"pr_Projects_Results")</f>
        <v>insert into pr_Projects_Results values ('20227466', 'P-0834', 72, '25-Nov-2022');</v>
      </c>
      <c r="H130">
        <v>128</v>
      </c>
    </row>
    <row r="131" spans="1:8" x14ac:dyDescent="0.15">
      <c r="A131">
        <f t="shared" si="4"/>
        <v>20227466</v>
      </c>
      <c r="B131" t="str">
        <f t="shared" si="5"/>
        <v>P-0665</v>
      </c>
      <c r="C131" s="27">
        <v>68</v>
      </c>
      <c r="D131">
        <v>45009</v>
      </c>
      <c r="E131" t="str" cm="1">
        <f t="array" ref="E131">insertinto(A131:D131,$F$2:$G$5,"pr_Projects_Results")</f>
        <v>insert into pr_Projects_Results values ('20227466', 'P-0665', 68, '24-Mar-2023');</v>
      </c>
      <c r="H131">
        <v>129</v>
      </c>
    </row>
    <row r="132" spans="1:8" x14ac:dyDescent="0.15">
      <c r="A132">
        <f t="shared" si="4"/>
        <v>20227466</v>
      </c>
      <c r="B132" t="str">
        <f t="shared" si="5"/>
        <v>P-0683</v>
      </c>
      <c r="C132" s="27">
        <v>72</v>
      </c>
      <c r="D132">
        <v>45012</v>
      </c>
      <c r="E132" t="str" cm="1">
        <f t="array" ref="E132">insertinto(A132:D132,$F$2:$G$5,"pr_Projects_Results")</f>
        <v>insert into pr_Projects_Results values ('20227466', 'P-0683', 72, '27-Mar-2023');</v>
      </c>
      <c r="H132">
        <v>130</v>
      </c>
    </row>
    <row r="133" spans="1:8" x14ac:dyDescent="0.15">
      <c r="A133">
        <f t="shared" si="4"/>
        <v>20227466</v>
      </c>
      <c r="B133" t="str">
        <f t="shared" si="5"/>
        <v>P-0575</v>
      </c>
      <c r="C133" s="27">
        <v>60</v>
      </c>
      <c r="D133">
        <v>45010</v>
      </c>
      <c r="E133" t="str" cm="1">
        <f t="array" ref="E133">insertinto(A133:D133,$F$2:$G$5,"pr_Projects_Results")</f>
        <v>insert into pr_Projects_Results values ('20227466', 'P-0575', 60, '25-Mar-2023');</v>
      </c>
      <c r="H133">
        <v>131</v>
      </c>
    </row>
    <row r="134" spans="1:8" x14ac:dyDescent="0.15">
      <c r="A134">
        <f t="shared" si="4"/>
        <v>20227466</v>
      </c>
      <c r="B134" t="str">
        <f t="shared" si="5"/>
        <v>P-0699</v>
      </c>
      <c r="C134" s="27">
        <v>65</v>
      </c>
      <c r="D134">
        <v>45018</v>
      </c>
      <c r="E134" t="str" cm="1">
        <f t="array" ref="E134">insertinto(A134:D134,$F$2:$G$5,"pr_Projects_Results")</f>
        <v>insert into pr_Projects_Results values ('20227466', 'P-0699', 65, '02-Apr-2023');</v>
      </c>
      <c r="H134">
        <v>132</v>
      </c>
    </row>
    <row r="135" spans="1:8" x14ac:dyDescent="0.15">
      <c r="A135">
        <f t="shared" si="4"/>
        <v>20227466</v>
      </c>
      <c r="B135" t="str">
        <f t="shared" si="5"/>
        <v>P-0092</v>
      </c>
      <c r="C135" s="27">
        <v>56</v>
      </c>
      <c r="D135">
        <v>45084</v>
      </c>
      <c r="E135" t="str" cm="1">
        <f t="array" ref="E135">insertinto(A135:D135,$F$2:$G$5,"pr_Projects_Results")</f>
        <v>insert into pr_Projects_Results values ('20227466', 'P-0092', 56, '07-Jun-2023');</v>
      </c>
      <c r="H135">
        <v>133</v>
      </c>
    </row>
    <row r="136" spans="1:8" x14ac:dyDescent="0.15">
      <c r="A136">
        <f t="shared" si="4"/>
        <v>20227466</v>
      </c>
      <c r="B136" t="str">
        <f t="shared" si="5"/>
        <v>P-0642</v>
      </c>
      <c r="C136" s="27">
        <v>75</v>
      </c>
      <c r="D136">
        <v>45072</v>
      </c>
      <c r="E136" t="str" cm="1">
        <f t="array" ref="E136">insertinto(A136:D136,$F$2:$G$5,"pr_Projects_Results")</f>
        <v>insert into pr_Projects_Results values ('20227466', 'P-0642', 75, '26-May-2023');</v>
      </c>
      <c r="H136">
        <v>134</v>
      </c>
    </row>
    <row r="137" spans="1:8" x14ac:dyDescent="0.15">
      <c r="A137">
        <f t="shared" si="4"/>
        <v>20227466</v>
      </c>
      <c r="B137" t="str">
        <f t="shared" si="5"/>
        <v>P-0556</v>
      </c>
      <c r="C137" s="27">
        <v>58</v>
      </c>
      <c r="D137">
        <v>45085</v>
      </c>
      <c r="E137" t="str" cm="1">
        <f t="array" ref="E137">insertinto(A137:D137,$F$2:$G$5,"pr_Projects_Results")</f>
        <v>insert into pr_Projects_Results values ('20227466', 'P-0556', 58, '08-Jun-2023');</v>
      </c>
      <c r="H137">
        <v>135</v>
      </c>
    </row>
    <row r="138" spans="1:8" x14ac:dyDescent="0.15">
      <c r="A138">
        <f t="shared" si="4"/>
        <v>20227466</v>
      </c>
      <c r="B138" t="str">
        <f t="shared" si="5"/>
        <v>P-0831</v>
      </c>
      <c r="C138" s="27">
        <v>61</v>
      </c>
      <c r="D138">
        <v>45267</v>
      </c>
      <c r="E138" t="str" cm="1">
        <f t="array" ref="E138">insertinto(A138:D138,$F$2:$G$5,"pr_Projects_Results")</f>
        <v>insert into pr_Projects_Results values ('20227466', 'P-0831', 61, '07-Dec-2023');</v>
      </c>
      <c r="H138">
        <v>136</v>
      </c>
    </row>
    <row r="139" spans="1:8" x14ac:dyDescent="0.15">
      <c r="A139">
        <f t="shared" si="4"/>
        <v>20227466</v>
      </c>
      <c r="B139" t="str">
        <f t="shared" si="5"/>
        <v>P-0722</v>
      </c>
      <c r="C139" s="27">
        <v>63</v>
      </c>
      <c r="D139">
        <v>45261</v>
      </c>
      <c r="E139" t="str" cm="1">
        <f t="array" ref="E139">insertinto(A139:D139,$F$2:$G$5,"pr_Projects_Results")</f>
        <v>insert into pr_Projects_Results values ('20227466', 'P-0722', 63, '01-Dec-2023');</v>
      </c>
      <c r="H139">
        <v>137</v>
      </c>
    </row>
    <row r="140" spans="1:8" x14ac:dyDescent="0.15">
      <c r="A140">
        <f t="shared" si="4"/>
        <v>20227466</v>
      </c>
      <c r="B140" t="str">
        <f t="shared" si="5"/>
        <v>P-0745</v>
      </c>
      <c r="C140" s="27">
        <v>58</v>
      </c>
      <c r="D140">
        <v>45235</v>
      </c>
      <c r="E140" t="str" cm="1">
        <f t="array" ref="E140">insertinto(A140:D140,$F$2:$G$5,"pr_Projects_Results")</f>
        <v>insert into pr_Projects_Results values ('20227466', 'P-0745', 58, '05-Nov-2023');</v>
      </c>
      <c r="H140">
        <v>138</v>
      </c>
    </row>
    <row r="141" spans="1:8" x14ac:dyDescent="0.15">
      <c r="A141">
        <f t="shared" si="4"/>
        <v>20227466</v>
      </c>
      <c r="B141" t="str">
        <f t="shared" si="5"/>
        <v>P-0579</v>
      </c>
      <c r="C141" s="27">
        <v>65</v>
      </c>
      <c r="D141">
        <v>45253</v>
      </c>
      <c r="E141" t="str" cm="1">
        <f t="array" ref="E141">insertinto(A141:D141,$F$2:$G$5,"pr_Projects_Results")</f>
        <v>insert into pr_Projects_Results values ('20227466', 'P-0579', 65, '23-Nov-2023');</v>
      </c>
      <c r="H141">
        <v>139</v>
      </c>
    </row>
    <row r="142" spans="1:8" x14ac:dyDescent="0.15">
      <c r="A142">
        <f t="shared" si="4"/>
        <v>20226221</v>
      </c>
      <c r="B142" t="str">
        <f t="shared" si="5"/>
        <v>P-0965</v>
      </c>
      <c r="C142" s="27">
        <v>75</v>
      </c>
      <c r="D142">
        <v>44896</v>
      </c>
      <c r="E142" t="str" cm="1">
        <f t="array" ref="E142">insertinto(A142:D142,$F$2:$G$5,"pr_Projects_Results")</f>
        <v>insert into pr_Projects_Results values ('20226221', 'P-0965', 75, '01-Dec-2022');</v>
      </c>
      <c r="H142">
        <v>140</v>
      </c>
    </row>
    <row r="143" spans="1:8" x14ac:dyDescent="0.15">
      <c r="A143">
        <f t="shared" si="4"/>
        <v>20226221</v>
      </c>
      <c r="B143" t="str">
        <f t="shared" si="5"/>
        <v>P-0416</v>
      </c>
      <c r="C143" s="27">
        <v>69</v>
      </c>
      <c r="D143">
        <v>44890</v>
      </c>
      <c r="E143" t="str" cm="1">
        <f t="array" ref="E143">insertinto(A143:D143,$F$2:$G$5,"pr_Projects_Results")</f>
        <v>insert into pr_Projects_Results values ('20226221', 'P-0416', 69, '25-Nov-2022');</v>
      </c>
      <c r="H143">
        <v>141</v>
      </c>
    </row>
    <row r="144" spans="1:8" x14ac:dyDescent="0.15">
      <c r="A144">
        <f t="shared" si="4"/>
        <v>20226221</v>
      </c>
      <c r="B144" t="str">
        <f t="shared" si="5"/>
        <v>P-0834</v>
      </c>
      <c r="C144" s="27">
        <v>57</v>
      </c>
      <c r="D144">
        <v>44895</v>
      </c>
      <c r="E144" t="str" cm="1">
        <f t="array" ref="E144">insertinto(A144:D144,$F$2:$G$5,"pr_Projects_Results")</f>
        <v>insert into pr_Projects_Results values ('20226221', 'P-0834', 57, '30-Nov-2022');</v>
      </c>
      <c r="H144">
        <v>142</v>
      </c>
    </row>
    <row r="145" spans="1:8" x14ac:dyDescent="0.15">
      <c r="A145">
        <f t="shared" si="4"/>
        <v>20226221</v>
      </c>
      <c r="B145" t="str">
        <f t="shared" si="5"/>
        <v>P-0665</v>
      </c>
      <c r="C145" s="27">
        <v>76</v>
      </c>
      <c r="D145">
        <v>45011</v>
      </c>
      <c r="E145" t="str" cm="1">
        <f t="array" ref="E145">insertinto(A145:D145,$F$2:$G$5,"pr_Projects_Results")</f>
        <v>insert into pr_Projects_Results values ('20226221', 'P-0665', 76, '26-Mar-2023');</v>
      </c>
      <c r="H145">
        <v>143</v>
      </c>
    </row>
    <row r="146" spans="1:8" x14ac:dyDescent="0.15">
      <c r="A146">
        <f t="shared" si="4"/>
        <v>20226221</v>
      </c>
      <c r="B146" t="str">
        <f t="shared" si="5"/>
        <v>P-0683</v>
      </c>
      <c r="C146" s="27">
        <v>66</v>
      </c>
      <c r="D146">
        <v>45014</v>
      </c>
      <c r="E146" t="str" cm="1">
        <f t="array" ref="E146">insertinto(A146:D146,$F$2:$G$5,"pr_Projects_Results")</f>
        <v>insert into pr_Projects_Results values ('20226221', 'P-0683', 66, '29-Mar-2023');</v>
      </c>
      <c r="H146">
        <v>144</v>
      </c>
    </row>
    <row r="147" spans="1:8" x14ac:dyDescent="0.15">
      <c r="A147">
        <f t="shared" si="4"/>
        <v>20226221</v>
      </c>
      <c r="B147" t="str">
        <f t="shared" si="5"/>
        <v>P-0575</v>
      </c>
      <c r="C147" s="27">
        <v>60</v>
      </c>
      <c r="D147">
        <v>45016</v>
      </c>
      <c r="E147" t="str" cm="1">
        <f t="array" ref="E147">insertinto(A147:D147,$F$2:$G$5,"pr_Projects_Results")</f>
        <v>insert into pr_Projects_Results values ('20226221', 'P-0575', 60, '31-Mar-2023');</v>
      </c>
      <c r="H147">
        <v>145</v>
      </c>
    </row>
    <row r="148" spans="1:8" x14ac:dyDescent="0.15">
      <c r="A148">
        <f t="shared" si="4"/>
        <v>20226221</v>
      </c>
      <c r="B148" t="str">
        <f t="shared" si="5"/>
        <v>P-0699</v>
      </c>
      <c r="C148" s="27">
        <v>63</v>
      </c>
      <c r="D148">
        <v>45012</v>
      </c>
      <c r="E148" t="str" cm="1">
        <f t="array" ref="E148">insertinto(A148:D148,$F$2:$G$5,"pr_Projects_Results")</f>
        <v>insert into pr_Projects_Results values ('20226221', 'P-0699', 63, '27-Mar-2023');</v>
      </c>
      <c r="H148">
        <v>146</v>
      </c>
    </row>
    <row r="149" spans="1:8" x14ac:dyDescent="0.15">
      <c r="A149">
        <f t="shared" si="4"/>
        <v>20226221</v>
      </c>
      <c r="B149" t="str">
        <f t="shared" si="5"/>
        <v>P-0092</v>
      </c>
      <c r="C149" s="27">
        <v>75</v>
      </c>
      <c r="D149">
        <v>45085</v>
      </c>
      <c r="E149" t="str" cm="1">
        <f t="array" ref="E149">insertinto(A149:D149,$F$2:$G$5,"pr_Projects_Results")</f>
        <v>insert into pr_Projects_Results values ('20226221', 'P-0092', 75, '08-Jun-2023');</v>
      </c>
      <c r="H149">
        <v>147</v>
      </c>
    </row>
    <row r="150" spans="1:8" x14ac:dyDescent="0.15">
      <c r="A150">
        <f t="shared" si="4"/>
        <v>20226221</v>
      </c>
      <c r="B150" t="str">
        <f t="shared" si="5"/>
        <v>P-0642</v>
      </c>
      <c r="C150" s="27">
        <v>64</v>
      </c>
      <c r="D150">
        <v>45072</v>
      </c>
      <c r="E150" t="str" cm="1">
        <f t="array" ref="E150">insertinto(A150:D150,$F$2:$G$5,"pr_Projects_Results")</f>
        <v>insert into pr_Projects_Results values ('20226221', 'P-0642', 64, '26-May-2023');</v>
      </c>
      <c r="H150">
        <v>148</v>
      </c>
    </row>
    <row r="151" spans="1:8" x14ac:dyDescent="0.15">
      <c r="A151">
        <f t="shared" si="4"/>
        <v>20226221</v>
      </c>
      <c r="B151" t="str">
        <f t="shared" si="5"/>
        <v>P-0556</v>
      </c>
      <c r="C151" s="27">
        <v>56</v>
      </c>
      <c r="D151">
        <v>45087</v>
      </c>
      <c r="E151" t="str" cm="1">
        <f t="array" ref="E151">insertinto(A151:D151,$F$2:$G$5,"pr_Projects_Results")</f>
        <v>insert into pr_Projects_Results values ('20226221', 'P-0556', 56, '10-Jun-2023');</v>
      </c>
      <c r="H151">
        <v>149</v>
      </c>
    </row>
    <row r="152" spans="1:8" x14ac:dyDescent="0.15">
      <c r="A152">
        <f t="shared" si="4"/>
        <v>20226221</v>
      </c>
      <c r="B152" t="str">
        <f t="shared" si="5"/>
        <v>P-0831</v>
      </c>
      <c r="C152" s="27">
        <v>68</v>
      </c>
      <c r="D152">
        <v>45261</v>
      </c>
      <c r="E152" t="str" cm="1">
        <f t="array" ref="E152">insertinto(A152:D152,$F$2:$G$5,"pr_Projects_Results")</f>
        <v>insert into pr_Projects_Results values ('20226221', 'P-0831', 68, '01-Dec-2023');</v>
      </c>
      <c r="H152">
        <v>150</v>
      </c>
    </row>
    <row r="153" spans="1:8" x14ac:dyDescent="0.15">
      <c r="A153">
        <f t="shared" si="4"/>
        <v>20226221</v>
      </c>
      <c r="B153" t="str">
        <f t="shared" si="5"/>
        <v>P-0722</v>
      </c>
      <c r="C153" s="27">
        <v>72</v>
      </c>
      <c r="D153">
        <v>45264</v>
      </c>
      <c r="E153" t="str" cm="1">
        <f t="array" ref="E153">insertinto(A153:D153,$F$2:$G$5,"pr_Projects_Results")</f>
        <v>insert into pr_Projects_Results values ('20226221', 'P-0722', 72, '04-Dec-2023');</v>
      </c>
      <c r="H153">
        <v>151</v>
      </c>
    </row>
    <row r="154" spans="1:8" x14ac:dyDescent="0.15">
      <c r="A154">
        <f t="shared" si="4"/>
        <v>20226221</v>
      </c>
      <c r="B154" t="str">
        <f t="shared" si="5"/>
        <v>P-0745</v>
      </c>
      <c r="C154" s="27">
        <v>65</v>
      </c>
      <c r="D154">
        <v>45235</v>
      </c>
      <c r="E154" t="str" cm="1">
        <f t="array" ref="E154">insertinto(A154:D154,$F$2:$G$5,"pr_Projects_Results")</f>
        <v>insert into pr_Projects_Results values ('20226221', 'P-0745', 65, '05-Nov-2023');</v>
      </c>
      <c r="H154">
        <v>152</v>
      </c>
    </row>
    <row r="155" spans="1:8" x14ac:dyDescent="0.15">
      <c r="A155">
        <f t="shared" si="4"/>
        <v>20226221</v>
      </c>
      <c r="B155" t="str">
        <f t="shared" si="5"/>
        <v>P-0579</v>
      </c>
      <c r="C155" s="27">
        <v>63</v>
      </c>
      <c r="D155">
        <v>45259</v>
      </c>
      <c r="E155" t="str" cm="1">
        <f t="array" ref="E155">insertinto(A155:D155,$F$2:$G$5,"pr_Projects_Results")</f>
        <v>insert into pr_Projects_Results values ('20226221', 'P-0579', 63, '29-Nov-2023');</v>
      </c>
      <c r="H155">
        <v>153</v>
      </c>
    </row>
    <row r="156" spans="1:8" x14ac:dyDescent="0.15">
      <c r="A156">
        <f t="shared" si="4"/>
        <v>20224946</v>
      </c>
      <c r="B156" t="str">
        <f t="shared" si="5"/>
        <v>P-0965</v>
      </c>
      <c r="C156" s="27">
        <v>56</v>
      </c>
      <c r="D156">
        <v>44892</v>
      </c>
      <c r="E156" t="str" cm="1">
        <f t="array" ref="E156">insertinto(A156:D156,$F$2:$G$5,"pr_Projects_Results")</f>
        <v>insert into pr_Projects_Results values ('20224946', 'P-0965', 56, '27-Nov-2022');</v>
      </c>
      <c r="H156">
        <v>154</v>
      </c>
    </row>
    <row r="157" spans="1:8" x14ac:dyDescent="0.15">
      <c r="A157">
        <f t="shared" si="4"/>
        <v>20224946</v>
      </c>
      <c r="B157" t="str">
        <f t="shared" si="5"/>
        <v>P-0416</v>
      </c>
      <c r="C157" s="27">
        <v>67</v>
      </c>
      <c r="D157">
        <v>44896</v>
      </c>
      <c r="E157" t="str" cm="1">
        <f t="array" ref="E157">insertinto(A157:D157,$F$2:$G$5,"pr_Projects_Results")</f>
        <v>insert into pr_Projects_Results values ('20224946', 'P-0416', 67, '01-Dec-2022');</v>
      </c>
      <c r="H157">
        <v>155</v>
      </c>
    </row>
    <row r="158" spans="1:8" x14ac:dyDescent="0.15">
      <c r="A158">
        <f t="shared" si="4"/>
        <v>20224946</v>
      </c>
      <c r="B158" t="str">
        <f t="shared" si="5"/>
        <v>P-0834</v>
      </c>
      <c r="C158" s="27">
        <v>63</v>
      </c>
      <c r="D158">
        <v>44892</v>
      </c>
      <c r="E158" t="str" cm="1">
        <f t="array" ref="E158">insertinto(A158:D158,$F$2:$G$5,"pr_Projects_Results")</f>
        <v>insert into pr_Projects_Results values ('20224946', 'P-0834', 63, '27-Nov-2022');</v>
      </c>
      <c r="H158">
        <v>156</v>
      </c>
    </row>
    <row r="159" spans="1:8" x14ac:dyDescent="0.15">
      <c r="A159">
        <f t="shared" si="4"/>
        <v>20224946</v>
      </c>
      <c r="B159" t="str">
        <f t="shared" si="5"/>
        <v>P-0665</v>
      </c>
      <c r="C159" s="27">
        <v>74</v>
      </c>
      <c r="D159">
        <v>45013</v>
      </c>
      <c r="E159" t="str" cm="1">
        <f t="array" ref="E159">insertinto(A159:D159,$F$2:$G$5,"pr_Projects_Results")</f>
        <v>insert into pr_Projects_Results values ('20224946', 'P-0665', 74, '28-Mar-2023');</v>
      </c>
      <c r="H159">
        <v>157</v>
      </c>
    </row>
    <row r="160" spans="1:8" x14ac:dyDescent="0.15">
      <c r="A160">
        <f t="shared" si="4"/>
        <v>20224946</v>
      </c>
      <c r="B160" t="str">
        <f t="shared" si="5"/>
        <v>P-0683</v>
      </c>
      <c r="C160" s="27">
        <v>68</v>
      </c>
      <c r="D160">
        <v>45014</v>
      </c>
      <c r="E160" t="str" cm="1">
        <f t="array" ref="E160">insertinto(A160:D160,$F$2:$G$5,"pr_Projects_Results")</f>
        <v>insert into pr_Projects_Results values ('20224946', 'P-0683', 68, '29-Mar-2023');</v>
      </c>
      <c r="H160">
        <v>158</v>
      </c>
    </row>
    <row r="161" spans="1:8" x14ac:dyDescent="0.15">
      <c r="A161">
        <f t="shared" si="4"/>
        <v>20224946</v>
      </c>
      <c r="B161" t="str">
        <f t="shared" si="5"/>
        <v>P-0575</v>
      </c>
      <c r="C161" s="27">
        <v>75</v>
      </c>
      <c r="D161">
        <v>45014</v>
      </c>
      <c r="E161" t="str" cm="1">
        <f t="array" ref="E161">insertinto(A161:D161,$F$2:$G$5,"pr_Projects_Results")</f>
        <v>insert into pr_Projects_Results values ('20224946', 'P-0575', 75, '29-Mar-2023');</v>
      </c>
      <c r="H161">
        <v>159</v>
      </c>
    </row>
    <row r="162" spans="1:8" x14ac:dyDescent="0.15">
      <c r="A162">
        <f t="shared" si="4"/>
        <v>20224946</v>
      </c>
      <c r="B162" t="str">
        <f t="shared" si="5"/>
        <v>P-0699</v>
      </c>
      <c r="C162" s="27">
        <v>55</v>
      </c>
      <c r="D162">
        <v>45012</v>
      </c>
      <c r="E162" t="str" cm="1">
        <f t="array" ref="E162">insertinto(A162:D162,$F$2:$G$5,"pr_Projects_Results")</f>
        <v>insert into pr_Projects_Results values ('20224946', 'P-0699', 55, '27-Mar-2023');</v>
      </c>
      <c r="H162">
        <v>160</v>
      </c>
    </row>
    <row r="163" spans="1:8" x14ac:dyDescent="0.15">
      <c r="A163">
        <f t="shared" si="4"/>
        <v>20224946</v>
      </c>
      <c r="B163" t="str">
        <f t="shared" si="5"/>
        <v>P-0092</v>
      </c>
      <c r="C163" s="27">
        <v>66</v>
      </c>
      <c r="D163">
        <v>45089</v>
      </c>
      <c r="E163" t="str" cm="1">
        <f t="array" ref="E163">insertinto(A163:D163,$F$2:$G$5,"pr_Projects_Results")</f>
        <v>insert into pr_Projects_Results values ('20224946', 'P-0092', 66, '12-Jun-2023');</v>
      </c>
      <c r="H163">
        <v>161</v>
      </c>
    </row>
    <row r="164" spans="1:8" x14ac:dyDescent="0.15">
      <c r="A164">
        <f t="shared" si="4"/>
        <v>20224946</v>
      </c>
      <c r="B164" t="str">
        <f t="shared" si="5"/>
        <v>P-0642</v>
      </c>
      <c r="C164" s="27">
        <v>63</v>
      </c>
      <c r="D164">
        <v>45069</v>
      </c>
      <c r="E164" t="str" cm="1">
        <f t="array" ref="E164">insertinto(A164:D164,$F$2:$G$5,"pr_Projects_Results")</f>
        <v>insert into pr_Projects_Results values ('20224946', 'P-0642', 63, '23-May-2023');</v>
      </c>
      <c r="H164">
        <v>162</v>
      </c>
    </row>
    <row r="165" spans="1:8" x14ac:dyDescent="0.15">
      <c r="A165">
        <f t="shared" si="4"/>
        <v>20224946</v>
      </c>
      <c r="B165" t="str">
        <f t="shared" si="5"/>
        <v>P-0556</v>
      </c>
      <c r="C165" s="27">
        <v>70</v>
      </c>
      <c r="D165">
        <v>45087</v>
      </c>
      <c r="E165" t="str" cm="1">
        <f t="array" ref="E165">insertinto(A165:D165,$F$2:$G$5,"pr_Projects_Results")</f>
        <v>insert into pr_Projects_Results values ('20224946', 'P-0556', 70, '10-Jun-2023');</v>
      </c>
      <c r="H165">
        <v>163</v>
      </c>
    </row>
    <row r="166" spans="1:8" x14ac:dyDescent="0.15">
      <c r="A166">
        <f t="shared" si="4"/>
        <v>20224946</v>
      </c>
      <c r="B166" t="str">
        <f t="shared" si="5"/>
        <v>P-0831</v>
      </c>
      <c r="C166" s="27">
        <v>55</v>
      </c>
      <c r="D166">
        <v>45267</v>
      </c>
      <c r="E166" t="str" cm="1">
        <f t="array" ref="E166">insertinto(A166:D166,$F$2:$G$5,"pr_Projects_Results")</f>
        <v>insert into pr_Projects_Results values ('20224946', 'P-0831', 55, '07-Dec-2023');</v>
      </c>
      <c r="H166">
        <v>164</v>
      </c>
    </row>
    <row r="167" spans="1:8" x14ac:dyDescent="0.15">
      <c r="A167">
        <f t="shared" si="4"/>
        <v>20224946</v>
      </c>
      <c r="B167" t="str">
        <f t="shared" si="5"/>
        <v>P-0722</v>
      </c>
      <c r="C167" s="27">
        <v>64</v>
      </c>
      <c r="D167">
        <v>45262</v>
      </c>
      <c r="E167" t="str" cm="1">
        <f t="array" ref="E167">insertinto(A167:D167,$F$2:$G$5,"pr_Projects_Results")</f>
        <v>insert into pr_Projects_Results values ('20224946', 'P-0722', 64, '02-Dec-2023');</v>
      </c>
      <c r="H167">
        <v>165</v>
      </c>
    </row>
    <row r="168" spans="1:8" x14ac:dyDescent="0.15">
      <c r="A168">
        <f t="shared" si="4"/>
        <v>20224946</v>
      </c>
      <c r="B168" t="str">
        <f t="shared" si="5"/>
        <v>P-0745</v>
      </c>
      <c r="C168" s="27">
        <v>62</v>
      </c>
      <c r="D168">
        <v>45234</v>
      </c>
      <c r="E168" t="str" cm="1">
        <f t="array" ref="E168">insertinto(A168:D168,$F$2:$G$5,"pr_Projects_Results")</f>
        <v>insert into pr_Projects_Results values ('20224946', 'P-0745', 62, '04-Nov-2023');</v>
      </c>
      <c r="H168">
        <v>166</v>
      </c>
    </row>
    <row r="169" spans="1:8" x14ac:dyDescent="0.15">
      <c r="A169">
        <f t="shared" si="4"/>
        <v>20224946</v>
      </c>
      <c r="B169" t="str">
        <f t="shared" si="5"/>
        <v>P-0579</v>
      </c>
      <c r="C169" s="27">
        <v>64</v>
      </c>
      <c r="D169">
        <v>45257</v>
      </c>
      <c r="E169" t="str" cm="1">
        <f t="array" ref="E169">insertinto(A169:D169,$F$2:$G$5,"pr_Projects_Results")</f>
        <v>insert into pr_Projects_Results values ('20224946', 'P-0579', 64, '27-Nov-2023');</v>
      </c>
      <c r="H169">
        <v>167</v>
      </c>
    </row>
    <row r="170" spans="1:8" x14ac:dyDescent="0.15">
      <c r="A170">
        <f t="shared" si="4"/>
        <v>20227782</v>
      </c>
      <c r="B170" t="str">
        <f t="shared" si="5"/>
        <v>P-0965</v>
      </c>
      <c r="C170" s="27">
        <v>59</v>
      </c>
      <c r="D170">
        <v>44894</v>
      </c>
      <c r="E170" t="str" cm="1">
        <f t="array" ref="E170">insertinto(A170:D170,$F$2:$G$5,"pr_Projects_Results")</f>
        <v>insert into pr_Projects_Results values ('20227782', 'P-0965', 59, '29-Nov-2022');</v>
      </c>
      <c r="H170">
        <v>168</v>
      </c>
    </row>
    <row r="171" spans="1:8" x14ac:dyDescent="0.15">
      <c r="A171">
        <f t="shared" si="4"/>
        <v>20227782</v>
      </c>
      <c r="B171" t="str">
        <f t="shared" si="5"/>
        <v>P-0416</v>
      </c>
      <c r="C171" s="27">
        <v>68</v>
      </c>
      <c r="D171">
        <v>44893</v>
      </c>
      <c r="E171" t="str" cm="1">
        <f t="array" ref="E171">insertinto(A171:D171,$F$2:$G$5,"pr_Projects_Results")</f>
        <v>insert into pr_Projects_Results values ('20227782', 'P-0416', 68, '28-Nov-2022');</v>
      </c>
      <c r="H171">
        <v>169</v>
      </c>
    </row>
    <row r="172" spans="1:8" x14ac:dyDescent="0.15">
      <c r="A172">
        <f t="shared" si="4"/>
        <v>20227782</v>
      </c>
      <c r="B172" t="str">
        <f t="shared" si="5"/>
        <v>P-0834</v>
      </c>
      <c r="C172" s="27">
        <v>70</v>
      </c>
      <c r="D172">
        <v>44891</v>
      </c>
      <c r="E172" t="str" cm="1">
        <f t="array" ref="E172">insertinto(A172:D172,$F$2:$G$5,"pr_Projects_Results")</f>
        <v>insert into pr_Projects_Results values ('20227782', 'P-0834', 70, '26-Nov-2022');</v>
      </c>
      <c r="H172">
        <v>170</v>
      </c>
    </row>
    <row r="173" spans="1:8" x14ac:dyDescent="0.15">
      <c r="A173">
        <f t="shared" si="4"/>
        <v>20227782</v>
      </c>
      <c r="B173" t="str">
        <f t="shared" si="5"/>
        <v>P-0665</v>
      </c>
      <c r="C173" s="27">
        <v>63</v>
      </c>
      <c r="D173">
        <v>45015</v>
      </c>
      <c r="E173" t="str" cm="1">
        <f t="array" ref="E173">insertinto(A173:D173,$F$2:$G$5,"pr_Projects_Results")</f>
        <v>insert into pr_Projects_Results values ('20227782', 'P-0665', 63, '30-Mar-2023');</v>
      </c>
      <c r="H173">
        <v>171</v>
      </c>
    </row>
    <row r="174" spans="1:8" x14ac:dyDescent="0.15">
      <c r="A174">
        <f t="shared" si="4"/>
        <v>20227782</v>
      </c>
      <c r="B174" t="str">
        <f t="shared" si="5"/>
        <v>P-0683</v>
      </c>
      <c r="C174" s="27">
        <v>70</v>
      </c>
      <c r="D174">
        <v>45014</v>
      </c>
      <c r="E174" t="str" cm="1">
        <f t="array" ref="E174">insertinto(A174:D174,$F$2:$G$5,"pr_Projects_Results")</f>
        <v>insert into pr_Projects_Results values ('20227782', 'P-0683', 70, '29-Mar-2023');</v>
      </c>
      <c r="H174">
        <v>172</v>
      </c>
    </row>
    <row r="175" spans="1:8" x14ac:dyDescent="0.15">
      <c r="A175">
        <f t="shared" si="4"/>
        <v>20227782</v>
      </c>
      <c r="B175" t="str">
        <f t="shared" si="5"/>
        <v>P-0575</v>
      </c>
      <c r="C175" s="27">
        <v>69</v>
      </c>
      <c r="D175">
        <v>45013</v>
      </c>
      <c r="E175" t="str" cm="1">
        <f t="array" ref="E175">insertinto(A175:D175,$F$2:$G$5,"pr_Projects_Results")</f>
        <v>insert into pr_Projects_Results values ('20227782', 'P-0575', 69, '28-Mar-2023');</v>
      </c>
      <c r="H175">
        <v>173</v>
      </c>
    </row>
    <row r="176" spans="1:8" x14ac:dyDescent="0.15">
      <c r="A176">
        <f t="shared" si="4"/>
        <v>20227782</v>
      </c>
      <c r="B176" t="str">
        <f t="shared" si="5"/>
        <v>P-0699</v>
      </c>
      <c r="C176" s="27">
        <v>66</v>
      </c>
      <c r="D176">
        <v>45015</v>
      </c>
      <c r="E176" t="str" cm="1">
        <f t="array" ref="E176">insertinto(A176:D176,$F$2:$G$5,"pr_Projects_Results")</f>
        <v>insert into pr_Projects_Results values ('20227782', 'P-0699', 66, '30-Mar-2023');</v>
      </c>
      <c r="H176">
        <v>174</v>
      </c>
    </row>
    <row r="177" spans="1:8" x14ac:dyDescent="0.15">
      <c r="A177">
        <f t="shared" si="4"/>
        <v>20227782</v>
      </c>
      <c r="B177" t="str">
        <f t="shared" si="5"/>
        <v>P-0092</v>
      </c>
      <c r="C177" s="27">
        <v>74</v>
      </c>
      <c r="D177">
        <v>45089</v>
      </c>
      <c r="E177" t="str" cm="1">
        <f t="array" ref="E177">insertinto(A177:D177,$F$2:$G$5,"pr_Projects_Results")</f>
        <v>insert into pr_Projects_Results values ('20227782', 'P-0092', 74, '12-Jun-2023');</v>
      </c>
      <c r="H177">
        <v>175</v>
      </c>
    </row>
    <row r="178" spans="1:8" x14ac:dyDescent="0.15">
      <c r="A178">
        <f t="shared" si="4"/>
        <v>20227782</v>
      </c>
      <c r="B178" t="str">
        <f t="shared" si="5"/>
        <v>P-0642</v>
      </c>
      <c r="C178" s="27">
        <v>74</v>
      </c>
      <c r="D178">
        <v>45069</v>
      </c>
      <c r="E178" t="str" cm="1">
        <f t="array" ref="E178">insertinto(A178:D178,$F$2:$G$5,"pr_Projects_Results")</f>
        <v>insert into pr_Projects_Results values ('20227782', 'P-0642', 74, '23-May-2023');</v>
      </c>
      <c r="H178">
        <v>176</v>
      </c>
    </row>
    <row r="179" spans="1:8" x14ac:dyDescent="0.15">
      <c r="A179">
        <f t="shared" si="4"/>
        <v>20227782</v>
      </c>
      <c r="B179" t="str">
        <f t="shared" si="5"/>
        <v>P-0556</v>
      </c>
      <c r="C179" s="27">
        <v>73</v>
      </c>
      <c r="D179">
        <v>45089</v>
      </c>
      <c r="E179" t="str" cm="1">
        <f t="array" ref="E179">insertinto(A179:D179,$F$2:$G$5,"pr_Projects_Results")</f>
        <v>insert into pr_Projects_Results values ('20227782', 'P-0556', 73, '12-Jun-2023');</v>
      </c>
      <c r="H179">
        <v>177</v>
      </c>
    </row>
    <row r="180" spans="1:8" x14ac:dyDescent="0.15">
      <c r="A180">
        <f t="shared" si="4"/>
        <v>20227782</v>
      </c>
      <c r="B180" t="str">
        <f t="shared" si="5"/>
        <v>P-0831</v>
      </c>
      <c r="C180" s="27">
        <v>55</v>
      </c>
      <c r="D180">
        <v>45267</v>
      </c>
      <c r="E180" t="str" cm="1">
        <f t="array" ref="E180">insertinto(A180:D180,$F$2:$G$5,"pr_Projects_Results")</f>
        <v>insert into pr_Projects_Results values ('20227782', 'P-0831', 55, '07-Dec-2023');</v>
      </c>
      <c r="H180">
        <v>178</v>
      </c>
    </row>
    <row r="181" spans="1:8" x14ac:dyDescent="0.15">
      <c r="A181">
        <f t="shared" si="4"/>
        <v>20227782</v>
      </c>
      <c r="B181" t="str">
        <f t="shared" si="5"/>
        <v>P-0722</v>
      </c>
      <c r="C181" s="27">
        <v>68</v>
      </c>
      <c r="D181">
        <v>45262</v>
      </c>
      <c r="E181" t="str" cm="1">
        <f t="array" ref="E181">insertinto(A181:D181,$F$2:$G$5,"pr_Projects_Results")</f>
        <v>insert into pr_Projects_Results values ('20227782', 'P-0722', 68, '02-Dec-2023');</v>
      </c>
      <c r="H181">
        <v>179</v>
      </c>
    </row>
    <row r="182" spans="1:8" x14ac:dyDescent="0.15">
      <c r="A182">
        <f t="shared" si="4"/>
        <v>20227782</v>
      </c>
      <c r="B182" t="str">
        <f t="shared" si="5"/>
        <v>P-0745</v>
      </c>
      <c r="C182" s="27">
        <v>68</v>
      </c>
      <c r="D182">
        <v>45237</v>
      </c>
      <c r="E182" t="str" cm="1">
        <f t="array" ref="E182">insertinto(A182:D182,$F$2:$G$5,"pr_Projects_Results")</f>
        <v>insert into pr_Projects_Results values ('20227782', 'P-0745', 68, '07-Nov-2023');</v>
      </c>
      <c r="H182">
        <v>180</v>
      </c>
    </row>
    <row r="183" spans="1:8" x14ac:dyDescent="0.15">
      <c r="A183">
        <f t="shared" si="4"/>
        <v>20227782</v>
      </c>
      <c r="B183" t="str">
        <f t="shared" si="5"/>
        <v>P-0579</v>
      </c>
      <c r="C183" s="27">
        <v>57</v>
      </c>
      <c r="D183">
        <v>45258</v>
      </c>
      <c r="E183" t="str" cm="1">
        <f t="array" ref="E183">insertinto(A183:D183,$F$2:$G$5,"pr_Projects_Results")</f>
        <v>insert into pr_Projects_Results values ('20227782', 'P-0579', 57, '28-Nov-2023');</v>
      </c>
      <c r="H183">
        <v>181</v>
      </c>
    </row>
    <row r="184" spans="1:8" x14ac:dyDescent="0.15">
      <c r="A184">
        <f t="shared" si="4"/>
        <v>20227177</v>
      </c>
      <c r="B184" t="str">
        <f t="shared" si="5"/>
        <v>P-0965</v>
      </c>
      <c r="C184" s="27">
        <v>71</v>
      </c>
      <c r="D184">
        <v>44895</v>
      </c>
      <c r="E184" t="str" cm="1">
        <f t="array" ref="E184">insertinto(A184:D184,$F$2:$G$5,"pr_Projects_Results")</f>
        <v>insert into pr_Projects_Results values ('20227177', 'P-0965', 71, '30-Nov-2022');</v>
      </c>
      <c r="H184">
        <v>182</v>
      </c>
    </row>
    <row r="185" spans="1:8" x14ac:dyDescent="0.15">
      <c r="A185">
        <f t="shared" si="4"/>
        <v>20227177</v>
      </c>
      <c r="B185" t="str">
        <f t="shared" si="5"/>
        <v>P-0416</v>
      </c>
      <c r="C185" s="27">
        <v>62</v>
      </c>
      <c r="D185">
        <v>44890</v>
      </c>
      <c r="E185" t="str" cm="1">
        <f t="array" ref="E185">insertinto(A185:D185,$F$2:$G$5,"pr_Projects_Results")</f>
        <v>insert into pr_Projects_Results values ('20227177', 'P-0416', 62, '25-Nov-2022');</v>
      </c>
      <c r="H185">
        <v>183</v>
      </c>
    </row>
    <row r="186" spans="1:8" x14ac:dyDescent="0.15">
      <c r="A186">
        <f t="shared" si="4"/>
        <v>20227177</v>
      </c>
      <c r="B186" t="str">
        <f t="shared" si="5"/>
        <v>P-0834</v>
      </c>
      <c r="C186" s="27">
        <v>62</v>
      </c>
      <c r="D186">
        <v>44892</v>
      </c>
      <c r="E186" t="str" cm="1">
        <f t="array" ref="E186">insertinto(A186:D186,$F$2:$G$5,"pr_Projects_Results")</f>
        <v>insert into pr_Projects_Results values ('20227177', 'P-0834', 62, '27-Nov-2022');</v>
      </c>
      <c r="H186">
        <v>184</v>
      </c>
    </row>
    <row r="187" spans="1:8" x14ac:dyDescent="0.15">
      <c r="A187">
        <f t="shared" si="4"/>
        <v>20227177</v>
      </c>
      <c r="B187" t="str">
        <f t="shared" si="5"/>
        <v>P-0665</v>
      </c>
      <c r="C187" s="27">
        <v>64</v>
      </c>
      <c r="D187">
        <v>45014</v>
      </c>
      <c r="E187" t="str" cm="1">
        <f t="array" ref="E187">insertinto(A187:D187,$F$2:$G$5,"pr_Projects_Results")</f>
        <v>insert into pr_Projects_Results values ('20227177', 'P-0665', 64, '29-Mar-2023');</v>
      </c>
      <c r="H187">
        <v>185</v>
      </c>
    </row>
    <row r="188" spans="1:8" x14ac:dyDescent="0.15">
      <c r="A188">
        <f t="shared" si="4"/>
        <v>20227177</v>
      </c>
      <c r="B188" t="str">
        <f t="shared" si="5"/>
        <v>P-0683</v>
      </c>
      <c r="C188" s="27">
        <v>55</v>
      </c>
      <c r="D188">
        <v>45009</v>
      </c>
      <c r="E188" t="str" cm="1">
        <f t="array" ref="E188">insertinto(A188:D188,$F$2:$G$5,"pr_Projects_Results")</f>
        <v>insert into pr_Projects_Results values ('20227177', 'P-0683', 55, '24-Mar-2023');</v>
      </c>
      <c r="H188">
        <v>186</v>
      </c>
    </row>
    <row r="189" spans="1:8" x14ac:dyDescent="0.15">
      <c r="A189">
        <f t="shared" si="4"/>
        <v>20227177</v>
      </c>
      <c r="B189" t="str">
        <f t="shared" si="5"/>
        <v>P-0575</v>
      </c>
      <c r="C189" s="27">
        <v>67</v>
      </c>
      <c r="D189">
        <v>45011</v>
      </c>
      <c r="E189" t="str" cm="1">
        <f t="array" ref="E189">insertinto(A189:D189,$F$2:$G$5,"pr_Projects_Results")</f>
        <v>insert into pr_Projects_Results values ('20227177', 'P-0575', 67, '26-Mar-2023');</v>
      </c>
      <c r="H189">
        <v>187</v>
      </c>
    </row>
    <row r="190" spans="1:8" x14ac:dyDescent="0.15">
      <c r="A190">
        <f t="shared" si="4"/>
        <v>20227177</v>
      </c>
      <c r="B190" t="str">
        <f t="shared" si="5"/>
        <v>P-0699</v>
      </c>
      <c r="C190" s="27">
        <v>76</v>
      </c>
      <c r="D190">
        <v>45017</v>
      </c>
      <c r="E190" t="str" cm="1">
        <f t="array" ref="E190">insertinto(A190:D190,$F$2:$G$5,"pr_Projects_Results")</f>
        <v>insert into pr_Projects_Results values ('20227177', 'P-0699', 76, '01-Apr-2023');</v>
      </c>
      <c r="H190">
        <v>188</v>
      </c>
    </row>
    <row r="191" spans="1:8" x14ac:dyDescent="0.15">
      <c r="A191">
        <f t="shared" si="4"/>
        <v>20227177</v>
      </c>
      <c r="B191" t="str">
        <f t="shared" si="5"/>
        <v>P-0092</v>
      </c>
      <c r="C191" s="27">
        <v>75</v>
      </c>
      <c r="D191">
        <v>45088</v>
      </c>
      <c r="E191" t="str" cm="1">
        <f t="array" ref="E191">insertinto(A191:D191,$F$2:$G$5,"pr_Projects_Results")</f>
        <v>insert into pr_Projects_Results values ('20227177', 'P-0092', 75, '11-Jun-2023');</v>
      </c>
      <c r="H191">
        <v>189</v>
      </c>
    </row>
    <row r="192" spans="1:8" x14ac:dyDescent="0.15">
      <c r="A192">
        <f t="shared" si="4"/>
        <v>20227177</v>
      </c>
      <c r="B192" t="str">
        <f t="shared" si="5"/>
        <v>P-0642</v>
      </c>
      <c r="C192" s="27">
        <v>55</v>
      </c>
      <c r="D192">
        <v>45071</v>
      </c>
      <c r="E192" t="str" cm="1">
        <f t="array" ref="E192">insertinto(A192:D192,$F$2:$G$5,"pr_Projects_Results")</f>
        <v>insert into pr_Projects_Results values ('20227177', 'P-0642', 55, '25-May-2023');</v>
      </c>
      <c r="H192">
        <v>190</v>
      </c>
    </row>
    <row r="193" spans="1:8" x14ac:dyDescent="0.15">
      <c r="A193">
        <f t="shared" si="4"/>
        <v>20227177</v>
      </c>
      <c r="B193" t="str">
        <f t="shared" si="5"/>
        <v>P-0556</v>
      </c>
      <c r="C193" s="27">
        <v>71</v>
      </c>
      <c r="D193">
        <v>45089</v>
      </c>
      <c r="E193" t="str" cm="1">
        <f t="array" ref="E193">insertinto(A193:D193,$F$2:$G$5,"pr_Projects_Results")</f>
        <v>insert into pr_Projects_Results values ('20227177', 'P-0556', 71, '12-Jun-2023');</v>
      </c>
      <c r="H193">
        <v>191</v>
      </c>
    </row>
    <row r="194" spans="1:8" x14ac:dyDescent="0.15">
      <c r="A194">
        <f t="shared" ref="A194:A257" si="6">INDEX($I$2:$I$51,INT(H194/14)+1)</f>
        <v>20227177</v>
      </c>
      <c r="B194" t="str">
        <f t="shared" ref="B194:B257" si="7">INDEX($J$2:$J$15,MOD(H194,14)+1)</f>
        <v>P-0831</v>
      </c>
      <c r="C194" s="27">
        <v>76</v>
      </c>
      <c r="D194">
        <v>45266</v>
      </c>
      <c r="E194" t="str" cm="1">
        <f t="array" ref="E194">insertinto(A194:D194,$F$2:$G$5,"pr_Projects_Results")</f>
        <v>insert into pr_Projects_Results values ('20227177', 'P-0831', 76, '06-Dec-2023');</v>
      </c>
      <c r="H194">
        <v>192</v>
      </c>
    </row>
    <row r="195" spans="1:8" x14ac:dyDescent="0.15">
      <c r="A195">
        <f t="shared" si="6"/>
        <v>20227177</v>
      </c>
      <c r="B195" t="str">
        <f t="shared" si="7"/>
        <v>P-0722</v>
      </c>
      <c r="C195" s="27">
        <v>68</v>
      </c>
      <c r="D195">
        <v>45260</v>
      </c>
      <c r="E195" t="str" cm="1">
        <f t="array" ref="E195">insertinto(A195:D195,$F$2:$G$5,"pr_Projects_Results")</f>
        <v>insert into pr_Projects_Results values ('20227177', 'P-0722', 68, '30-Nov-2023');</v>
      </c>
      <c r="H195">
        <v>193</v>
      </c>
    </row>
    <row r="196" spans="1:8" x14ac:dyDescent="0.15">
      <c r="A196">
        <f t="shared" si="6"/>
        <v>20227177</v>
      </c>
      <c r="B196" t="str">
        <f t="shared" si="7"/>
        <v>P-0745</v>
      </c>
      <c r="C196" s="27">
        <v>58</v>
      </c>
      <c r="D196">
        <v>45235</v>
      </c>
      <c r="E196" t="str" cm="1">
        <f t="array" ref="E196">insertinto(A196:D196,$F$2:$G$5,"pr_Projects_Results")</f>
        <v>insert into pr_Projects_Results values ('20227177', 'P-0745', 58, '05-Nov-2023');</v>
      </c>
      <c r="H196">
        <v>194</v>
      </c>
    </row>
    <row r="197" spans="1:8" x14ac:dyDescent="0.15">
      <c r="A197">
        <f t="shared" si="6"/>
        <v>20227177</v>
      </c>
      <c r="B197" t="str">
        <f t="shared" si="7"/>
        <v>P-0579</v>
      </c>
      <c r="C197" s="27">
        <v>60</v>
      </c>
      <c r="D197">
        <v>45253</v>
      </c>
      <c r="E197" t="str" cm="1">
        <f t="array" ref="E197">insertinto(A197:D197,$F$2:$G$5,"pr_Projects_Results")</f>
        <v>insert into pr_Projects_Results values ('20227177', 'P-0579', 60, '23-Nov-2023');</v>
      </c>
      <c r="H197">
        <v>195</v>
      </c>
    </row>
    <row r="198" spans="1:8" x14ac:dyDescent="0.15">
      <c r="A198">
        <f t="shared" si="6"/>
        <v>20221564</v>
      </c>
      <c r="B198" t="str">
        <f t="shared" si="7"/>
        <v>P-0965</v>
      </c>
      <c r="C198" s="27">
        <v>73</v>
      </c>
      <c r="D198">
        <v>44894</v>
      </c>
      <c r="E198" t="str" cm="1">
        <f t="array" ref="E198">insertinto(A198:D198,$F$2:$G$5,"pr_Projects_Results")</f>
        <v>insert into pr_Projects_Results values ('20221564', 'P-0965', 73, '29-Nov-2022');</v>
      </c>
      <c r="H198">
        <v>196</v>
      </c>
    </row>
    <row r="199" spans="1:8" x14ac:dyDescent="0.15">
      <c r="A199">
        <f t="shared" si="6"/>
        <v>20221564</v>
      </c>
      <c r="B199" t="str">
        <f t="shared" si="7"/>
        <v>P-0416</v>
      </c>
      <c r="C199" s="27">
        <v>66</v>
      </c>
      <c r="D199">
        <v>44895</v>
      </c>
      <c r="E199" t="str" cm="1">
        <f t="array" ref="E199">insertinto(A199:D199,$F$2:$G$5,"pr_Projects_Results")</f>
        <v>insert into pr_Projects_Results values ('20221564', 'P-0416', 66, '30-Nov-2022');</v>
      </c>
      <c r="H199">
        <v>197</v>
      </c>
    </row>
    <row r="200" spans="1:8" x14ac:dyDescent="0.15">
      <c r="A200">
        <f t="shared" si="6"/>
        <v>20221564</v>
      </c>
      <c r="B200" t="str">
        <f t="shared" si="7"/>
        <v>P-0834</v>
      </c>
      <c r="C200" s="27">
        <v>72</v>
      </c>
      <c r="D200">
        <v>44893</v>
      </c>
      <c r="E200" t="str" cm="1">
        <f t="array" ref="E200">insertinto(A200:D200,$F$2:$G$5,"pr_Projects_Results")</f>
        <v>insert into pr_Projects_Results values ('20221564', 'P-0834', 72, '28-Nov-2022');</v>
      </c>
      <c r="H200">
        <v>198</v>
      </c>
    </row>
    <row r="201" spans="1:8" x14ac:dyDescent="0.15">
      <c r="A201">
        <f t="shared" si="6"/>
        <v>20221564</v>
      </c>
      <c r="B201" t="str">
        <f t="shared" si="7"/>
        <v>P-0665</v>
      </c>
      <c r="C201" s="27">
        <v>57</v>
      </c>
      <c r="D201">
        <v>45014</v>
      </c>
      <c r="E201" t="str" cm="1">
        <f t="array" ref="E201">insertinto(A201:D201,$F$2:$G$5,"pr_Projects_Results")</f>
        <v>insert into pr_Projects_Results values ('20221564', 'P-0665', 57, '29-Mar-2023');</v>
      </c>
      <c r="H201">
        <v>199</v>
      </c>
    </row>
    <row r="202" spans="1:8" x14ac:dyDescent="0.15">
      <c r="A202">
        <f t="shared" si="6"/>
        <v>20221564</v>
      </c>
      <c r="B202" t="str">
        <f t="shared" si="7"/>
        <v>P-0683</v>
      </c>
      <c r="C202" s="27">
        <v>72</v>
      </c>
      <c r="D202">
        <v>45013</v>
      </c>
      <c r="E202" t="str" cm="1">
        <f t="array" ref="E202">insertinto(A202:D202,$F$2:$G$5,"pr_Projects_Results")</f>
        <v>insert into pr_Projects_Results values ('20221564', 'P-0683', 72, '28-Mar-2023');</v>
      </c>
      <c r="H202">
        <v>200</v>
      </c>
    </row>
    <row r="203" spans="1:8" x14ac:dyDescent="0.15">
      <c r="A203">
        <f t="shared" si="6"/>
        <v>20221564</v>
      </c>
      <c r="B203" t="str">
        <f t="shared" si="7"/>
        <v>P-0575</v>
      </c>
      <c r="C203" s="27">
        <v>67</v>
      </c>
      <c r="D203">
        <v>45010</v>
      </c>
      <c r="E203" t="str" cm="1">
        <f t="array" ref="E203">insertinto(A203:D203,$F$2:$G$5,"pr_Projects_Results")</f>
        <v>insert into pr_Projects_Results values ('20221564', 'P-0575', 67, '25-Mar-2023');</v>
      </c>
      <c r="H203">
        <v>201</v>
      </c>
    </row>
    <row r="204" spans="1:8" x14ac:dyDescent="0.15">
      <c r="A204">
        <f t="shared" si="6"/>
        <v>20221564</v>
      </c>
      <c r="B204" t="str">
        <f t="shared" si="7"/>
        <v>P-0699</v>
      </c>
      <c r="C204" s="27">
        <v>56</v>
      </c>
      <c r="D204">
        <v>45015</v>
      </c>
      <c r="E204" t="str" cm="1">
        <f t="array" ref="E204">insertinto(A204:D204,$F$2:$G$5,"pr_Projects_Results")</f>
        <v>insert into pr_Projects_Results values ('20221564', 'P-0699', 56, '30-Mar-2023');</v>
      </c>
      <c r="H204">
        <v>202</v>
      </c>
    </row>
    <row r="205" spans="1:8" x14ac:dyDescent="0.15">
      <c r="A205">
        <f t="shared" si="6"/>
        <v>20221564</v>
      </c>
      <c r="B205" t="str">
        <f t="shared" si="7"/>
        <v>P-0092</v>
      </c>
      <c r="C205" s="27">
        <v>68</v>
      </c>
      <c r="D205">
        <v>45090</v>
      </c>
      <c r="E205" t="str" cm="1">
        <f t="array" ref="E205">insertinto(A205:D205,$F$2:$G$5,"pr_Projects_Results")</f>
        <v>insert into pr_Projects_Results values ('20221564', 'P-0092', 68, '13-Jun-2023');</v>
      </c>
      <c r="H205">
        <v>203</v>
      </c>
    </row>
    <row r="206" spans="1:8" x14ac:dyDescent="0.15">
      <c r="A206">
        <f t="shared" si="6"/>
        <v>20221564</v>
      </c>
      <c r="B206" t="str">
        <f t="shared" si="7"/>
        <v>P-0642</v>
      </c>
      <c r="C206" s="27">
        <v>67</v>
      </c>
      <c r="D206">
        <v>45068</v>
      </c>
      <c r="E206" t="str" cm="1">
        <f t="array" ref="E206">insertinto(A206:D206,$F$2:$G$5,"pr_Projects_Results")</f>
        <v>insert into pr_Projects_Results values ('20221564', 'P-0642', 67, '22-May-2023');</v>
      </c>
      <c r="H206">
        <v>204</v>
      </c>
    </row>
    <row r="207" spans="1:8" x14ac:dyDescent="0.15">
      <c r="A207">
        <f t="shared" si="6"/>
        <v>20221564</v>
      </c>
      <c r="B207" t="str">
        <f t="shared" si="7"/>
        <v>P-0556</v>
      </c>
      <c r="C207" s="27">
        <v>74</v>
      </c>
      <c r="D207">
        <v>45083</v>
      </c>
      <c r="E207" t="str" cm="1">
        <f t="array" ref="E207">insertinto(A207:D207,$F$2:$G$5,"pr_Projects_Results")</f>
        <v>insert into pr_Projects_Results values ('20221564', 'P-0556', 74, '06-Jun-2023');</v>
      </c>
      <c r="H207">
        <v>205</v>
      </c>
    </row>
    <row r="208" spans="1:8" x14ac:dyDescent="0.15">
      <c r="A208">
        <f t="shared" si="6"/>
        <v>20221564</v>
      </c>
      <c r="B208" t="str">
        <f t="shared" si="7"/>
        <v>P-0831</v>
      </c>
      <c r="C208" s="27">
        <v>61</v>
      </c>
      <c r="D208">
        <v>45265</v>
      </c>
      <c r="E208" t="str" cm="1">
        <f t="array" ref="E208">insertinto(A208:D208,$F$2:$G$5,"pr_Projects_Results")</f>
        <v>insert into pr_Projects_Results values ('20221564', 'P-0831', 61, '05-Dec-2023');</v>
      </c>
      <c r="H208">
        <v>206</v>
      </c>
    </row>
    <row r="209" spans="1:8" x14ac:dyDescent="0.15">
      <c r="A209">
        <f t="shared" si="6"/>
        <v>20221564</v>
      </c>
      <c r="B209" t="str">
        <f t="shared" si="7"/>
        <v>P-0722</v>
      </c>
      <c r="C209" s="27">
        <v>66</v>
      </c>
      <c r="D209">
        <v>45264</v>
      </c>
      <c r="E209" t="str" cm="1">
        <f t="array" ref="E209">insertinto(A209:D209,$F$2:$G$5,"pr_Projects_Results")</f>
        <v>insert into pr_Projects_Results values ('20221564', 'P-0722', 66, '04-Dec-2023');</v>
      </c>
      <c r="H209">
        <v>207</v>
      </c>
    </row>
    <row r="210" spans="1:8" x14ac:dyDescent="0.15">
      <c r="A210">
        <f t="shared" si="6"/>
        <v>20221564</v>
      </c>
      <c r="B210" t="str">
        <f t="shared" si="7"/>
        <v>P-0745</v>
      </c>
      <c r="C210" s="27">
        <v>72</v>
      </c>
      <c r="D210">
        <v>45238</v>
      </c>
      <c r="E210" t="str" cm="1">
        <f t="array" ref="E210">insertinto(A210:D210,$F$2:$G$5,"pr_Projects_Results")</f>
        <v>insert into pr_Projects_Results values ('20221564', 'P-0745', 72, '08-Nov-2023');</v>
      </c>
      <c r="H210">
        <v>208</v>
      </c>
    </row>
    <row r="211" spans="1:8" x14ac:dyDescent="0.15">
      <c r="A211">
        <f t="shared" si="6"/>
        <v>20221564</v>
      </c>
      <c r="B211" t="str">
        <f t="shared" si="7"/>
        <v>P-0579</v>
      </c>
      <c r="C211" s="27">
        <v>74</v>
      </c>
      <c r="D211">
        <v>45256</v>
      </c>
      <c r="E211" t="str" cm="1">
        <f t="array" ref="E211">insertinto(A211:D211,$F$2:$G$5,"pr_Projects_Results")</f>
        <v>insert into pr_Projects_Results values ('20221564', 'P-0579', 74, '26-Nov-2023');</v>
      </c>
      <c r="H211">
        <v>209</v>
      </c>
    </row>
    <row r="212" spans="1:8" x14ac:dyDescent="0.15">
      <c r="A212">
        <f t="shared" si="6"/>
        <v>20224484</v>
      </c>
      <c r="B212" t="str">
        <f t="shared" si="7"/>
        <v>P-0965</v>
      </c>
      <c r="C212" s="27">
        <v>22</v>
      </c>
      <c r="D212">
        <v>44894</v>
      </c>
      <c r="E212" t="str" cm="1">
        <f t="array" ref="E212">insertinto(A212:D212,$F$2:$G$5,"pr_Projects_Results")</f>
        <v>insert into pr_Projects_Results values ('20224484', 'P-0965', 22, '29-Nov-2022');</v>
      </c>
      <c r="H212">
        <v>210</v>
      </c>
    </row>
    <row r="213" spans="1:8" x14ac:dyDescent="0.15">
      <c r="A213">
        <f t="shared" si="6"/>
        <v>20224484</v>
      </c>
      <c r="B213" t="str">
        <f t="shared" si="7"/>
        <v>P-0416</v>
      </c>
      <c r="C213" s="27">
        <v>47</v>
      </c>
      <c r="D213">
        <v>44891</v>
      </c>
      <c r="E213" t="str" cm="1">
        <f t="array" ref="E213">insertinto(A213:D213,$F$2:$G$5,"pr_Projects_Results")</f>
        <v>insert into pr_Projects_Results values ('20224484', 'P-0416', 47, '26-Nov-2022');</v>
      </c>
      <c r="H213">
        <v>211</v>
      </c>
    </row>
    <row r="214" spans="1:8" x14ac:dyDescent="0.15">
      <c r="A214">
        <f t="shared" si="6"/>
        <v>20224484</v>
      </c>
      <c r="B214" t="str">
        <f t="shared" si="7"/>
        <v>P-0834</v>
      </c>
      <c r="C214" s="27">
        <v>25</v>
      </c>
      <c r="D214">
        <v>44893</v>
      </c>
      <c r="E214" t="str" cm="1">
        <f t="array" ref="E214">insertinto(A214:D214,$F$2:$G$5,"pr_Projects_Results")</f>
        <v>insert into pr_Projects_Results values ('20224484', 'P-0834', 25, '28-Nov-2022');</v>
      </c>
      <c r="H214">
        <v>212</v>
      </c>
    </row>
    <row r="215" spans="1:8" x14ac:dyDescent="0.15">
      <c r="A215">
        <f t="shared" si="6"/>
        <v>20224484</v>
      </c>
      <c r="B215" t="str">
        <f t="shared" si="7"/>
        <v>P-0665</v>
      </c>
      <c r="C215" s="27">
        <v>49</v>
      </c>
      <c r="D215">
        <v>45013</v>
      </c>
      <c r="E215" t="str" cm="1">
        <f t="array" ref="E215">insertinto(A215:D215,$F$2:$G$5,"pr_Projects_Results")</f>
        <v>insert into pr_Projects_Results values ('20224484', 'P-0665', 49, '28-Mar-2023');</v>
      </c>
      <c r="H215">
        <v>213</v>
      </c>
    </row>
    <row r="216" spans="1:8" x14ac:dyDescent="0.15">
      <c r="A216">
        <f t="shared" si="6"/>
        <v>20224484</v>
      </c>
      <c r="B216" t="str">
        <f t="shared" si="7"/>
        <v>P-0683</v>
      </c>
      <c r="C216" s="27">
        <v>50</v>
      </c>
      <c r="D216">
        <v>45010</v>
      </c>
      <c r="E216" t="str" cm="1">
        <f t="array" ref="E216">insertinto(A216:D216,$F$2:$G$5,"pr_Projects_Results")</f>
        <v>insert into pr_Projects_Results values ('20224484', 'P-0683', 50, '25-Mar-2023');</v>
      </c>
      <c r="H216">
        <v>214</v>
      </c>
    </row>
    <row r="217" spans="1:8" x14ac:dyDescent="0.15">
      <c r="A217">
        <f t="shared" si="6"/>
        <v>20224484</v>
      </c>
      <c r="B217" t="str">
        <f t="shared" si="7"/>
        <v>P-0575</v>
      </c>
      <c r="C217" s="27">
        <v>25</v>
      </c>
      <c r="D217">
        <v>45013</v>
      </c>
      <c r="E217" t="str" cm="1">
        <f t="array" ref="E217">insertinto(A217:D217,$F$2:$G$5,"pr_Projects_Results")</f>
        <v>insert into pr_Projects_Results values ('20224484', 'P-0575', 25, '28-Mar-2023');</v>
      </c>
      <c r="H217">
        <v>215</v>
      </c>
    </row>
    <row r="218" spans="1:8" x14ac:dyDescent="0.15">
      <c r="A218">
        <f t="shared" si="6"/>
        <v>20224484</v>
      </c>
      <c r="B218" t="str">
        <f t="shared" si="7"/>
        <v>P-0699</v>
      </c>
      <c r="C218" s="27">
        <v>27</v>
      </c>
      <c r="D218">
        <v>45015</v>
      </c>
      <c r="E218" t="str" cm="1">
        <f t="array" ref="E218">insertinto(A218:D218,$F$2:$G$5,"pr_Projects_Results")</f>
        <v>insert into pr_Projects_Results values ('20224484', 'P-0699', 27, '30-Mar-2023');</v>
      </c>
      <c r="H218">
        <v>216</v>
      </c>
    </row>
    <row r="219" spans="1:8" x14ac:dyDescent="0.15">
      <c r="A219">
        <f t="shared" si="6"/>
        <v>20224484</v>
      </c>
      <c r="B219" t="str">
        <f t="shared" si="7"/>
        <v>P-0092</v>
      </c>
      <c r="C219" s="27">
        <v>27</v>
      </c>
      <c r="D219">
        <v>45084</v>
      </c>
      <c r="E219" t="str" cm="1">
        <f t="array" ref="E219">insertinto(A219:D219,$F$2:$G$5,"pr_Projects_Results")</f>
        <v>insert into pr_Projects_Results values ('20224484', 'P-0092', 27, '07-Jun-2023');</v>
      </c>
      <c r="H219">
        <v>217</v>
      </c>
    </row>
    <row r="220" spans="1:8" x14ac:dyDescent="0.15">
      <c r="A220">
        <f t="shared" si="6"/>
        <v>20224484</v>
      </c>
      <c r="B220" t="str">
        <f t="shared" si="7"/>
        <v>P-0642</v>
      </c>
      <c r="C220" s="27">
        <v>24</v>
      </c>
      <c r="D220">
        <v>45070</v>
      </c>
      <c r="E220" t="str" cm="1">
        <f t="array" ref="E220">insertinto(A220:D220,$F$2:$G$5,"pr_Projects_Results")</f>
        <v>insert into pr_Projects_Results values ('20224484', 'P-0642', 24, '24-May-2023');</v>
      </c>
      <c r="H220">
        <v>218</v>
      </c>
    </row>
    <row r="221" spans="1:8" x14ac:dyDescent="0.15">
      <c r="A221">
        <f t="shared" si="6"/>
        <v>20224484</v>
      </c>
      <c r="B221" t="str">
        <f t="shared" si="7"/>
        <v>P-0556</v>
      </c>
      <c r="C221" s="27">
        <v>2</v>
      </c>
      <c r="D221">
        <v>45088</v>
      </c>
      <c r="E221" t="str" cm="1">
        <f t="array" ref="E221">insertinto(A221:D221,$F$2:$G$5,"pr_Projects_Results")</f>
        <v>insert into pr_Projects_Results values ('20224484', 'P-0556', 2, '11-Jun-2023');</v>
      </c>
      <c r="H221">
        <v>219</v>
      </c>
    </row>
    <row r="222" spans="1:8" x14ac:dyDescent="0.15">
      <c r="A222">
        <f t="shared" si="6"/>
        <v>20224484</v>
      </c>
      <c r="B222" t="str">
        <f t="shared" si="7"/>
        <v>P-0831</v>
      </c>
      <c r="C222" s="27">
        <v>27</v>
      </c>
      <c r="D222">
        <v>45261</v>
      </c>
      <c r="E222" t="str" cm="1">
        <f t="array" ref="E222">insertinto(A222:D222,$F$2:$G$5,"pr_Projects_Results")</f>
        <v>insert into pr_Projects_Results values ('20224484', 'P-0831', 27, '01-Dec-2023');</v>
      </c>
      <c r="H222">
        <v>220</v>
      </c>
    </row>
    <row r="223" spans="1:8" x14ac:dyDescent="0.15">
      <c r="A223">
        <f t="shared" si="6"/>
        <v>20224484</v>
      </c>
      <c r="B223" t="str">
        <f t="shared" si="7"/>
        <v>P-0722</v>
      </c>
      <c r="C223" s="27">
        <v>27</v>
      </c>
      <c r="D223">
        <v>45261</v>
      </c>
      <c r="E223" t="str" cm="1">
        <f t="array" ref="E223">insertinto(A223:D223,$F$2:$G$5,"pr_Projects_Results")</f>
        <v>insert into pr_Projects_Results values ('20224484', 'P-0722', 27, '01-Dec-2023');</v>
      </c>
      <c r="H223">
        <v>221</v>
      </c>
    </row>
    <row r="224" spans="1:8" x14ac:dyDescent="0.15">
      <c r="A224">
        <f t="shared" si="6"/>
        <v>20224484</v>
      </c>
      <c r="B224" t="str">
        <f t="shared" si="7"/>
        <v>P-0745</v>
      </c>
      <c r="C224" s="27">
        <v>49</v>
      </c>
      <c r="D224">
        <v>45238</v>
      </c>
      <c r="E224" t="str" cm="1">
        <f t="array" ref="E224">insertinto(A224:D224,$F$2:$G$5,"pr_Projects_Results")</f>
        <v>insert into pr_Projects_Results values ('20224484', 'P-0745', 49, '08-Nov-2023');</v>
      </c>
      <c r="H224">
        <v>222</v>
      </c>
    </row>
    <row r="225" spans="1:8" x14ac:dyDescent="0.15">
      <c r="A225">
        <f t="shared" si="6"/>
        <v>20224484</v>
      </c>
      <c r="B225" t="str">
        <f t="shared" si="7"/>
        <v>P-0579</v>
      </c>
      <c r="C225" s="27">
        <v>52</v>
      </c>
      <c r="D225">
        <v>45253</v>
      </c>
      <c r="E225" t="str" cm="1">
        <f t="array" ref="E225">insertinto(A225:D225,$F$2:$G$5,"pr_Projects_Results")</f>
        <v>insert into pr_Projects_Results values ('20224484', 'P-0579', 52, '23-Nov-2023');</v>
      </c>
      <c r="H225">
        <v>223</v>
      </c>
    </row>
    <row r="226" spans="1:8" x14ac:dyDescent="0.15">
      <c r="A226">
        <f t="shared" si="6"/>
        <v>20226724</v>
      </c>
      <c r="B226" t="str">
        <f t="shared" si="7"/>
        <v>P-0965</v>
      </c>
      <c r="C226" s="27">
        <v>32</v>
      </c>
      <c r="D226">
        <v>44892</v>
      </c>
      <c r="E226" t="str" cm="1">
        <f t="array" ref="E226">insertinto(A226:D226,$F$2:$G$5,"pr_Projects_Results")</f>
        <v>insert into pr_Projects_Results values ('20226724', 'P-0965', 32, '27-Nov-2022');</v>
      </c>
      <c r="H226">
        <v>224</v>
      </c>
    </row>
    <row r="227" spans="1:8" x14ac:dyDescent="0.15">
      <c r="A227">
        <f t="shared" si="6"/>
        <v>20226724</v>
      </c>
      <c r="B227" t="str">
        <f t="shared" si="7"/>
        <v>P-0416</v>
      </c>
      <c r="C227" s="27">
        <v>41</v>
      </c>
      <c r="D227">
        <v>44890</v>
      </c>
      <c r="E227" t="str" cm="1">
        <f t="array" ref="E227">insertinto(A227:D227,$F$2:$G$5,"pr_Projects_Results")</f>
        <v>insert into pr_Projects_Results values ('20226724', 'P-0416', 41, '25-Nov-2022');</v>
      </c>
      <c r="H227">
        <v>225</v>
      </c>
    </row>
    <row r="228" spans="1:8" x14ac:dyDescent="0.15">
      <c r="A228">
        <f t="shared" si="6"/>
        <v>20226724</v>
      </c>
      <c r="B228" t="str">
        <f t="shared" si="7"/>
        <v>P-0834</v>
      </c>
      <c r="C228" s="27">
        <v>33</v>
      </c>
      <c r="D228">
        <v>44891</v>
      </c>
      <c r="E228" t="str" cm="1">
        <f t="array" ref="E228">insertinto(A228:D228,$F$2:$G$5,"pr_Projects_Results")</f>
        <v>insert into pr_Projects_Results values ('20226724', 'P-0834', 33, '26-Nov-2022');</v>
      </c>
      <c r="H228">
        <v>226</v>
      </c>
    </row>
    <row r="229" spans="1:8" x14ac:dyDescent="0.15">
      <c r="A229">
        <f t="shared" si="6"/>
        <v>20226724</v>
      </c>
      <c r="B229" t="str">
        <f t="shared" si="7"/>
        <v>P-0665</v>
      </c>
      <c r="C229" s="27">
        <v>18</v>
      </c>
      <c r="D229">
        <v>45014</v>
      </c>
      <c r="E229" t="str" cm="1">
        <f t="array" ref="E229">insertinto(A229:D229,$F$2:$G$5,"pr_Projects_Results")</f>
        <v>insert into pr_Projects_Results values ('20226724', 'P-0665', 18, '29-Mar-2023');</v>
      </c>
      <c r="H229">
        <v>227</v>
      </c>
    </row>
    <row r="230" spans="1:8" x14ac:dyDescent="0.15">
      <c r="A230">
        <f t="shared" si="6"/>
        <v>20226724</v>
      </c>
      <c r="B230" t="str">
        <f t="shared" si="7"/>
        <v>P-0683</v>
      </c>
      <c r="C230" s="27">
        <v>22</v>
      </c>
      <c r="D230">
        <v>45011</v>
      </c>
      <c r="E230" t="str" cm="1">
        <f t="array" ref="E230">insertinto(A230:D230,$F$2:$G$5,"pr_Projects_Results")</f>
        <v>insert into pr_Projects_Results values ('20226724', 'P-0683', 22, '26-Mar-2023');</v>
      </c>
      <c r="H230">
        <v>228</v>
      </c>
    </row>
    <row r="231" spans="1:8" x14ac:dyDescent="0.15">
      <c r="A231">
        <f t="shared" si="6"/>
        <v>20226724</v>
      </c>
      <c r="B231" t="str">
        <f t="shared" si="7"/>
        <v>P-0575</v>
      </c>
      <c r="C231" s="27">
        <v>52</v>
      </c>
      <c r="D231">
        <v>45012</v>
      </c>
      <c r="E231" t="str" cm="1">
        <f t="array" ref="E231">insertinto(A231:D231,$F$2:$G$5,"pr_Projects_Results")</f>
        <v>insert into pr_Projects_Results values ('20226724', 'P-0575', 52, '27-Mar-2023');</v>
      </c>
      <c r="H231">
        <v>229</v>
      </c>
    </row>
    <row r="232" spans="1:8" x14ac:dyDescent="0.15">
      <c r="A232">
        <f t="shared" si="6"/>
        <v>20226724</v>
      </c>
      <c r="B232" t="str">
        <f t="shared" si="7"/>
        <v>P-0699</v>
      </c>
      <c r="C232" s="27">
        <v>17</v>
      </c>
      <c r="D232">
        <v>45017</v>
      </c>
      <c r="E232" t="str" cm="1">
        <f t="array" ref="E232">insertinto(A232:D232,$F$2:$G$5,"pr_Projects_Results")</f>
        <v>insert into pr_Projects_Results values ('20226724', 'P-0699', 17, '01-Apr-2023');</v>
      </c>
      <c r="H232">
        <v>230</v>
      </c>
    </row>
    <row r="233" spans="1:8" x14ac:dyDescent="0.15">
      <c r="A233">
        <f t="shared" si="6"/>
        <v>20226724</v>
      </c>
      <c r="B233" t="str">
        <f t="shared" si="7"/>
        <v>P-0092</v>
      </c>
      <c r="C233" s="27">
        <v>32</v>
      </c>
      <c r="D233">
        <v>45088</v>
      </c>
      <c r="E233" t="str" cm="1">
        <f t="array" ref="E233">insertinto(A233:D233,$F$2:$G$5,"pr_Projects_Results")</f>
        <v>insert into pr_Projects_Results values ('20226724', 'P-0092', 32, '11-Jun-2023');</v>
      </c>
      <c r="H233">
        <v>231</v>
      </c>
    </row>
    <row r="234" spans="1:8" x14ac:dyDescent="0.15">
      <c r="A234">
        <f t="shared" si="6"/>
        <v>20226724</v>
      </c>
      <c r="B234" t="str">
        <f t="shared" si="7"/>
        <v>P-0642</v>
      </c>
      <c r="C234" s="27">
        <v>8</v>
      </c>
      <c r="D234">
        <v>45067</v>
      </c>
      <c r="E234" t="str" cm="1">
        <f t="array" ref="E234">insertinto(A234:D234,$F$2:$G$5,"pr_Projects_Results")</f>
        <v>insert into pr_Projects_Results values ('20226724', 'P-0642', 8, '21-May-2023');</v>
      </c>
      <c r="H234">
        <v>232</v>
      </c>
    </row>
    <row r="235" spans="1:8" x14ac:dyDescent="0.15">
      <c r="A235">
        <f t="shared" si="6"/>
        <v>20226724</v>
      </c>
      <c r="B235" t="str">
        <f t="shared" si="7"/>
        <v>P-0556</v>
      </c>
      <c r="C235" s="27">
        <v>13</v>
      </c>
      <c r="D235">
        <v>45088</v>
      </c>
      <c r="E235" t="str" cm="1">
        <f t="array" ref="E235">insertinto(A235:D235,$F$2:$G$5,"pr_Projects_Results")</f>
        <v>insert into pr_Projects_Results values ('20226724', 'P-0556', 13, '11-Jun-2023');</v>
      </c>
      <c r="H235">
        <v>233</v>
      </c>
    </row>
    <row r="236" spans="1:8" x14ac:dyDescent="0.15">
      <c r="A236">
        <f t="shared" si="6"/>
        <v>20226724</v>
      </c>
      <c r="B236" t="str">
        <f t="shared" si="7"/>
        <v>P-0831</v>
      </c>
      <c r="C236" s="27">
        <v>32</v>
      </c>
      <c r="D236">
        <v>45266</v>
      </c>
      <c r="E236" t="str" cm="1">
        <f t="array" ref="E236">insertinto(A236:D236,$F$2:$G$5,"pr_Projects_Results")</f>
        <v>insert into pr_Projects_Results values ('20226724', 'P-0831', 32, '06-Dec-2023');</v>
      </c>
      <c r="H236">
        <v>234</v>
      </c>
    </row>
    <row r="237" spans="1:8" x14ac:dyDescent="0.15">
      <c r="A237">
        <f t="shared" si="6"/>
        <v>20226724</v>
      </c>
      <c r="B237" t="str">
        <f t="shared" si="7"/>
        <v>P-0722</v>
      </c>
      <c r="C237" s="27">
        <v>24</v>
      </c>
      <c r="D237">
        <v>45266</v>
      </c>
      <c r="E237" t="str" cm="1">
        <f t="array" ref="E237">insertinto(A237:D237,$F$2:$G$5,"pr_Projects_Results")</f>
        <v>insert into pr_Projects_Results values ('20226724', 'P-0722', 24, '06-Dec-2023');</v>
      </c>
      <c r="H237">
        <v>235</v>
      </c>
    </row>
    <row r="238" spans="1:8" x14ac:dyDescent="0.15">
      <c r="A238">
        <f t="shared" si="6"/>
        <v>20226724</v>
      </c>
      <c r="B238" t="str">
        <f t="shared" si="7"/>
        <v>P-0745</v>
      </c>
      <c r="C238" s="27">
        <v>11</v>
      </c>
      <c r="D238">
        <v>45234</v>
      </c>
      <c r="E238" t="str" cm="1">
        <f t="array" ref="E238">insertinto(A238:D238,$F$2:$G$5,"pr_Projects_Results")</f>
        <v>insert into pr_Projects_Results values ('20226724', 'P-0745', 11, '04-Nov-2023');</v>
      </c>
      <c r="H238">
        <v>236</v>
      </c>
    </row>
    <row r="239" spans="1:8" x14ac:dyDescent="0.15">
      <c r="A239">
        <f t="shared" si="6"/>
        <v>20226724</v>
      </c>
      <c r="B239" t="str">
        <f t="shared" si="7"/>
        <v>P-0579</v>
      </c>
      <c r="C239" s="27">
        <v>50</v>
      </c>
      <c r="D239">
        <v>45254</v>
      </c>
      <c r="E239" t="str" cm="1">
        <f t="array" ref="E239">insertinto(A239:D239,$F$2:$G$5,"pr_Projects_Results")</f>
        <v>insert into pr_Projects_Results values ('20226724', 'P-0579', 50, '24-Nov-2023');</v>
      </c>
      <c r="H239">
        <v>237</v>
      </c>
    </row>
    <row r="240" spans="1:8" x14ac:dyDescent="0.15">
      <c r="A240">
        <f t="shared" si="6"/>
        <v>20225519</v>
      </c>
      <c r="B240" t="str">
        <f t="shared" si="7"/>
        <v>P-0965</v>
      </c>
      <c r="C240" s="27">
        <v>34</v>
      </c>
      <c r="D240">
        <v>44897</v>
      </c>
      <c r="E240" t="str" cm="1">
        <f t="array" ref="E240">insertinto(A240:D240,$F$2:$G$5,"pr_Projects_Results")</f>
        <v>insert into pr_Projects_Results values ('20225519', 'P-0965', 34, '02-Dec-2022');</v>
      </c>
      <c r="H240">
        <v>238</v>
      </c>
    </row>
    <row r="241" spans="1:8" x14ac:dyDescent="0.15">
      <c r="A241">
        <f t="shared" si="6"/>
        <v>20225519</v>
      </c>
      <c r="B241" t="str">
        <f t="shared" si="7"/>
        <v>P-0416</v>
      </c>
      <c r="C241" s="27">
        <v>37</v>
      </c>
      <c r="D241">
        <v>44892</v>
      </c>
      <c r="E241" t="str" cm="1">
        <f t="array" ref="E241">insertinto(A241:D241,$F$2:$G$5,"pr_Projects_Results")</f>
        <v>insert into pr_Projects_Results values ('20225519', 'P-0416', 37, '27-Nov-2022');</v>
      </c>
      <c r="H241">
        <v>239</v>
      </c>
    </row>
    <row r="242" spans="1:8" x14ac:dyDescent="0.15">
      <c r="A242">
        <f t="shared" si="6"/>
        <v>20225519</v>
      </c>
      <c r="B242" t="str">
        <f t="shared" si="7"/>
        <v>P-0834</v>
      </c>
      <c r="C242" s="27">
        <v>7</v>
      </c>
      <c r="D242">
        <v>44891</v>
      </c>
      <c r="E242" t="str" cm="1">
        <f t="array" ref="E242">insertinto(A242:D242,$F$2:$G$5,"pr_Projects_Results")</f>
        <v>insert into pr_Projects_Results values ('20225519', 'P-0834', 7, '26-Nov-2022');</v>
      </c>
      <c r="H242">
        <v>240</v>
      </c>
    </row>
    <row r="243" spans="1:8" x14ac:dyDescent="0.15">
      <c r="A243">
        <f t="shared" si="6"/>
        <v>20225519</v>
      </c>
      <c r="B243" t="str">
        <f t="shared" si="7"/>
        <v>P-0665</v>
      </c>
      <c r="C243" s="27">
        <v>19</v>
      </c>
      <c r="D243">
        <v>45012</v>
      </c>
      <c r="E243" t="str" cm="1">
        <f t="array" ref="E243">insertinto(A243:D243,$F$2:$G$5,"pr_Projects_Results")</f>
        <v>insert into pr_Projects_Results values ('20225519', 'P-0665', 19, '27-Mar-2023');</v>
      </c>
      <c r="H243">
        <v>241</v>
      </c>
    </row>
    <row r="244" spans="1:8" x14ac:dyDescent="0.15">
      <c r="A244">
        <f t="shared" si="6"/>
        <v>20225519</v>
      </c>
      <c r="B244" t="str">
        <f t="shared" si="7"/>
        <v>P-0683</v>
      </c>
      <c r="C244" s="27">
        <v>16</v>
      </c>
      <c r="D244">
        <v>45013</v>
      </c>
      <c r="E244" t="str" cm="1">
        <f t="array" ref="E244">insertinto(A244:D244,$F$2:$G$5,"pr_Projects_Results")</f>
        <v>insert into pr_Projects_Results values ('20225519', 'P-0683', 16, '28-Mar-2023');</v>
      </c>
      <c r="H244">
        <v>242</v>
      </c>
    </row>
    <row r="245" spans="1:8" x14ac:dyDescent="0.15">
      <c r="A245">
        <f t="shared" si="6"/>
        <v>20225519</v>
      </c>
      <c r="B245" t="str">
        <f t="shared" si="7"/>
        <v>P-0575</v>
      </c>
      <c r="C245" s="27">
        <v>17</v>
      </c>
      <c r="D245">
        <v>45012</v>
      </c>
      <c r="E245" t="str" cm="1">
        <f t="array" ref="E245">insertinto(A245:D245,$F$2:$G$5,"pr_Projects_Results")</f>
        <v>insert into pr_Projects_Results values ('20225519', 'P-0575', 17, '27-Mar-2023');</v>
      </c>
      <c r="H245">
        <v>243</v>
      </c>
    </row>
    <row r="246" spans="1:8" x14ac:dyDescent="0.15">
      <c r="A246">
        <f t="shared" si="6"/>
        <v>20225519</v>
      </c>
      <c r="B246" t="str">
        <f t="shared" si="7"/>
        <v>P-0699</v>
      </c>
      <c r="C246" s="27">
        <v>45</v>
      </c>
      <c r="D246">
        <v>45015</v>
      </c>
      <c r="E246" t="str" cm="1">
        <f t="array" ref="E246">insertinto(A246:D246,$F$2:$G$5,"pr_Projects_Results")</f>
        <v>insert into pr_Projects_Results values ('20225519', 'P-0699', 45, '30-Mar-2023');</v>
      </c>
      <c r="H246">
        <v>244</v>
      </c>
    </row>
    <row r="247" spans="1:8" x14ac:dyDescent="0.15">
      <c r="A247">
        <f t="shared" si="6"/>
        <v>20225519</v>
      </c>
      <c r="B247" t="str">
        <f t="shared" si="7"/>
        <v>P-0092</v>
      </c>
      <c r="C247" s="27">
        <v>25</v>
      </c>
      <c r="D247">
        <v>45088</v>
      </c>
      <c r="E247" t="str" cm="1">
        <f t="array" ref="E247">insertinto(A247:D247,$F$2:$G$5,"pr_Projects_Results")</f>
        <v>insert into pr_Projects_Results values ('20225519', 'P-0092', 25, '11-Jun-2023');</v>
      </c>
      <c r="H247">
        <v>245</v>
      </c>
    </row>
    <row r="248" spans="1:8" x14ac:dyDescent="0.15">
      <c r="A248">
        <f t="shared" si="6"/>
        <v>20225519</v>
      </c>
      <c r="B248" t="str">
        <f t="shared" si="7"/>
        <v>P-0642</v>
      </c>
      <c r="C248" s="27">
        <v>37</v>
      </c>
      <c r="D248">
        <v>45071</v>
      </c>
      <c r="E248" t="str" cm="1">
        <f t="array" ref="E248">insertinto(A248:D248,$F$2:$G$5,"pr_Projects_Results")</f>
        <v>insert into pr_Projects_Results values ('20225519', 'P-0642', 37, '25-May-2023');</v>
      </c>
      <c r="H248">
        <v>246</v>
      </c>
    </row>
    <row r="249" spans="1:8" x14ac:dyDescent="0.15">
      <c r="A249">
        <f t="shared" si="6"/>
        <v>20225519</v>
      </c>
      <c r="B249" t="str">
        <f t="shared" si="7"/>
        <v>P-0556</v>
      </c>
      <c r="C249" s="27">
        <v>36</v>
      </c>
      <c r="D249">
        <v>45087</v>
      </c>
      <c r="E249" t="str" cm="1">
        <f t="array" ref="E249">insertinto(A249:D249,$F$2:$G$5,"pr_Projects_Results")</f>
        <v>insert into pr_Projects_Results values ('20225519', 'P-0556', 36, '10-Jun-2023');</v>
      </c>
      <c r="H249">
        <v>247</v>
      </c>
    </row>
    <row r="250" spans="1:8" x14ac:dyDescent="0.15">
      <c r="A250">
        <f t="shared" si="6"/>
        <v>20225519</v>
      </c>
      <c r="B250" t="str">
        <f t="shared" si="7"/>
        <v>P-0831</v>
      </c>
      <c r="C250" s="27">
        <v>52</v>
      </c>
      <c r="D250">
        <v>45267</v>
      </c>
      <c r="E250" t="str" cm="1">
        <f t="array" ref="E250">insertinto(A250:D250,$F$2:$G$5,"pr_Projects_Results")</f>
        <v>insert into pr_Projects_Results values ('20225519', 'P-0831', 52, '07-Dec-2023');</v>
      </c>
      <c r="H250">
        <v>248</v>
      </c>
    </row>
    <row r="251" spans="1:8" x14ac:dyDescent="0.15">
      <c r="A251">
        <f t="shared" si="6"/>
        <v>20225519</v>
      </c>
      <c r="B251" t="str">
        <f t="shared" si="7"/>
        <v>P-0722</v>
      </c>
      <c r="C251" s="27">
        <v>6</v>
      </c>
      <c r="D251">
        <v>45262</v>
      </c>
      <c r="E251" t="str" cm="1">
        <f t="array" ref="E251">insertinto(A251:D251,$F$2:$G$5,"pr_Projects_Results")</f>
        <v>insert into pr_Projects_Results values ('20225519', 'P-0722', 6, '02-Dec-2023');</v>
      </c>
      <c r="H251">
        <v>249</v>
      </c>
    </row>
    <row r="252" spans="1:8" x14ac:dyDescent="0.15">
      <c r="A252">
        <f t="shared" si="6"/>
        <v>20225519</v>
      </c>
      <c r="B252" t="str">
        <f t="shared" si="7"/>
        <v>P-0745</v>
      </c>
      <c r="C252" s="27">
        <v>33</v>
      </c>
      <c r="D252">
        <v>45234</v>
      </c>
      <c r="E252" t="str" cm="1">
        <f t="array" ref="E252">insertinto(A252:D252,$F$2:$G$5,"pr_Projects_Results")</f>
        <v>insert into pr_Projects_Results values ('20225519', 'P-0745', 33, '04-Nov-2023');</v>
      </c>
      <c r="H252">
        <v>250</v>
      </c>
    </row>
    <row r="253" spans="1:8" x14ac:dyDescent="0.15">
      <c r="A253">
        <f t="shared" si="6"/>
        <v>20225519</v>
      </c>
      <c r="B253" t="str">
        <f t="shared" si="7"/>
        <v>P-0579</v>
      </c>
      <c r="C253" s="27">
        <v>39</v>
      </c>
      <c r="D253">
        <v>45253</v>
      </c>
      <c r="E253" t="str" cm="1">
        <f t="array" ref="E253">insertinto(A253:D253,$F$2:$G$5,"pr_Projects_Results")</f>
        <v>insert into pr_Projects_Results values ('20225519', 'P-0579', 39, '23-Nov-2023');</v>
      </c>
      <c r="H253">
        <v>251</v>
      </c>
    </row>
    <row r="254" spans="1:8" x14ac:dyDescent="0.15">
      <c r="A254">
        <f t="shared" si="6"/>
        <v>20227388</v>
      </c>
      <c r="B254" t="str">
        <f t="shared" si="7"/>
        <v>P-0965</v>
      </c>
      <c r="C254" s="27">
        <v>9</v>
      </c>
      <c r="D254">
        <v>44894</v>
      </c>
      <c r="E254" t="str" cm="1">
        <f t="array" ref="E254">insertinto(A254:D254,$F$2:$G$5,"pr_Projects_Results")</f>
        <v>insert into pr_Projects_Results values ('20227388', 'P-0965', 9, '29-Nov-2022');</v>
      </c>
      <c r="H254">
        <v>252</v>
      </c>
    </row>
    <row r="255" spans="1:8" x14ac:dyDescent="0.15">
      <c r="A255">
        <f t="shared" si="6"/>
        <v>20227388</v>
      </c>
      <c r="B255" t="str">
        <f t="shared" si="7"/>
        <v>P-0416</v>
      </c>
      <c r="C255" s="27">
        <v>7</v>
      </c>
      <c r="D255">
        <v>44894</v>
      </c>
      <c r="E255" t="str" cm="1">
        <f t="array" ref="E255">insertinto(A255:D255,$F$2:$G$5,"pr_Projects_Results")</f>
        <v>insert into pr_Projects_Results values ('20227388', 'P-0416', 7, '29-Nov-2022');</v>
      </c>
      <c r="H255">
        <v>253</v>
      </c>
    </row>
    <row r="256" spans="1:8" x14ac:dyDescent="0.15">
      <c r="A256">
        <f t="shared" si="6"/>
        <v>20227388</v>
      </c>
      <c r="B256" t="str">
        <f t="shared" si="7"/>
        <v>P-0834</v>
      </c>
      <c r="C256" s="27">
        <v>31</v>
      </c>
      <c r="D256">
        <v>44890</v>
      </c>
      <c r="E256" t="str" cm="1">
        <f t="array" ref="E256">insertinto(A256:D256,$F$2:$G$5,"pr_Projects_Results")</f>
        <v>insert into pr_Projects_Results values ('20227388', 'P-0834', 31, '25-Nov-2022');</v>
      </c>
      <c r="H256">
        <v>254</v>
      </c>
    </row>
    <row r="257" spans="1:8" x14ac:dyDescent="0.15">
      <c r="A257">
        <f t="shared" si="6"/>
        <v>20227388</v>
      </c>
      <c r="B257" t="str">
        <f t="shared" si="7"/>
        <v>P-0665</v>
      </c>
      <c r="C257" s="27">
        <v>9</v>
      </c>
      <c r="D257">
        <v>45011</v>
      </c>
      <c r="E257" t="str" cm="1">
        <f t="array" ref="E257">insertinto(A257:D257,$F$2:$G$5,"pr_Projects_Results")</f>
        <v>insert into pr_Projects_Results values ('20227388', 'P-0665', 9, '26-Mar-2023');</v>
      </c>
      <c r="H257">
        <v>255</v>
      </c>
    </row>
    <row r="258" spans="1:8" x14ac:dyDescent="0.15">
      <c r="A258">
        <f t="shared" ref="A258:A281" si="8">INDEX($I$2:$I$51,INT(H258/14)+1)</f>
        <v>20227388</v>
      </c>
      <c r="B258" t="str">
        <f t="shared" ref="B258:B281" si="9">INDEX($J$2:$J$15,MOD(H258,14)+1)</f>
        <v>P-0683</v>
      </c>
      <c r="C258" s="27">
        <v>27</v>
      </c>
      <c r="D258">
        <v>45009</v>
      </c>
      <c r="E258" t="str" cm="1">
        <f t="array" ref="E258">insertinto(A258:D258,$F$2:$G$5,"pr_Projects_Results")</f>
        <v>insert into pr_Projects_Results values ('20227388', 'P-0683', 27, '24-Mar-2023');</v>
      </c>
      <c r="H258">
        <v>256</v>
      </c>
    </row>
    <row r="259" spans="1:8" x14ac:dyDescent="0.15">
      <c r="A259">
        <f t="shared" si="8"/>
        <v>20227388</v>
      </c>
      <c r="B259" t="str">
        <f t="shared" si="9"/>
        <v>P-0575</v>
      </c>
      <c r="C259" s="27">
        <v>20</v>
      </c>
      <c r="D259">
        <v>45014</v>
      </c>
      <c r="E259" t="str" cm="1">
        <f t="array" ref="E259">insertinto(A259:D259,$F$2:$G$5,"pr_Projects_Results")</f>
        <v>insert into pr_Projects_Results values ('20227388', 'P-0575', 20, '29-Mar-2023');</v>
      </c>
      <c r="H259">
        <v>257</v>
      </c>
    </row>
    <row r="260" spans="1:8" x14ac:dyDescent="0.15">
      <c r="A260">
        <f t="shared" si="8"/>
        <v>20227388</v>
      </c>
      <c r="B260" t="str">
        <f t="shared" si="9"/>
        <v>P-0699</v>
      </c>
      <c r="C260" s="27">
        <v>19</v>
      </c>
      <c r="D260">
        <v>45014</v>
      </c>
      <c r="E260" t="str" cm="1">
        <f t="array" ref="E260">insertinto(A260:D260,$F$2:$G$5,"pr_Projects_Results")</f>
        <v>insert into pr_Projects_Results values ('20227388', 'P-0699', 19, '29-Mar-2023');</v>
      </c>
      <c r="H260">
        <v>258</v>
      </c>
    </row>
    <row r="261" spans="1:8" x14ac:dyDescent="0.15">
      <c r="A261">
        <f t="shared" si="8"/>
        <v>20227388</v>
      </c>
      <c r="B261" t="str">
        <f t="shared" si="9"/>
        <v>P-0092</v>
      </c>
      <c r="C261" s="27">
        <v>16</v>
      </c>
      <c r="D261">
        <v>45086</v>
      </c>
      <c r="E261" t="str" cm="1">
        <f t="array" ref="E261">insertinto(A261:D261,$F$2:$G$5,"pr_Projects_Results")</f>
        <v>insert into pr_Projects_Results values ('20227388', 'P-0092', 16, '09-Jun-2023');</v>
      </c>
      <c r="H261">
        <v>259</v>
      </c>
    </row>
    <row r="262" spans="1:8" x14ac:dyDescent="0.15">
      <c r="A262">
        <f t="shared" si="8"/>
        <v>20227388</v>
      </c>
      <c r="B262" t="str">
        <f t="shared" si="9"/>
        <v>P-0642</v>
      </c>
      <c r="C262" s="27">
        <v>37</v>
      </c>
      <c r="D262">
        <v>45066</v>
      </c>
      <c r="E262" t="str" cm="1">
        <f t="array" ref="E262">insertinto(A262:D262,$F$2:$G$5,"pr_Projects_Results")</f>
        <v>insert into pr_Projects_Results values ('20227388', 'P-0642', 37, '20-May-2023');</v>
      </c>
      <c r="H262">
        <v>260</v>
      </c>
    </row>
    <row r="263" spans="1:8" x14ac:dyDescent="0.15">
      <c r="A263">
        <f t="shared" si="8"/>
        <v>20227388</v>
      </c>
      <c r="B263" t="str">
        <f t="shared" si="9"/>
        <v>P-0556</v>
      </c>
      <c r="C263" s="27">
        <v>18</v>
      </c>
      <c r="D263">
        <v>45089</v>
      </c>
      <c r="E263" t="str" cm="1">
        <f t="array" ref="E263">insertinto(A263:D263,$F$2:$G$5,"pr_Projects_Results")</f>
        <v>insert into pr_Projects_Results values ('20227388', 'P-0556', 18, '12-Jun-2023');</v>
      </c>
      <c r="H263">
        <v>261</v>
      </c>
    </row>
    <row r="264" spans="1:8" x14ac:dyDescent="0.15">
      <c r="A264">
        <f t="shared" si="8"/>
        <v>20227388</v>
      </c>
      <c r="B264" t="str">
        <f t="shared" si="9"/>
        <v>P-0831</v>
      </c>
      <c r="C264" s="27">
        <v>42</v>
      </c>
      <c r="D264">
        <v>45261</v>
      </c>
      <c r="E264" t="str" cm="1">
        <f t="array" ref="E264">insertinto(A264:D264,$F$2:$G$5,"pr_Projects_Results")</f>
        <v>insert into pr_Projects_Results values ('20227388', 'P-0831', 42, '01-Dec-2023');</v>
      </c>
      <c r="H264">
        <v>262</v>
      </c>
    </row>
    <row r="265" spans="1:8" x14ac:dyDescent="0.15">
      <c r="A265">
        <f t="shared" si="8"/>
        <v>20227388</v>
      </c>
      <c r="B265" t="str">
        <f t="shared" si="9"/>
        <v>P-0722</v>
      </c>
      <c r="C265" s="27">
        <v>35</v>
      </c>
      <c r="D265">
        <v>45263</v>
      </c>
      <c r="E265" t="str" cm="1">
        <f t="array" ref="E265">insertinto(A265:D265,$F$2:$G$5,"pr_Projects_Results")</f>
        <v>insert into pr_Projects_Results values ('20227388', 'P-0722', 35, '03-Dec-2023');</v>
      </c>
      <c r="H265">
        <v>263</v>
      </c>
    </row>
    <row r="266" spans="1:8" x14ac:dyDescent="0.15">
      <c r="A266">
        <f t="shared" si="8"/>
        <v>20227388</v>
      </c>
      <c r="B266" t="str">
        <f t="shared" si="9"/>
        <v>P-0745</v>
      </c>
      <c r="C266" s="27">
        <v>3</v>
      </c>
      <c r="D266">
        <v>45232</v>
      </c>
      <c r="E266" t="str" cm="1">
        <f t="array" ref="E266">insertinto(A266:D266,$F$2:$G$5,"pr_Projects_Results")</f>
        <v>insert into pr_Projects_Results values ('20227388', 'P-0745', 3, '02-Nov-2023');</v>
      </c>
      <c r="H266">
        <v>264</v>
      </c>
    </row>
    <row r="267" spans="1:8" x14ac:dyDescent="0.15">
      <c r="A267">
        <f t="shared" si="8"/>
        <v>20227388</v>
      </c>
      <c r="B267" t="str">
        <f t="shared" si="9"/>
        <v>P-0579</v>
      </c>
      <c r="C267" s="27">
        <v>53</v>
      </c>
      <c r="D267">
        <v>45259</v>
      </c>
      <c r="E267" t="str" cm="1">
        <f t="array" ref="E267">insertinto(A267:D267,$F$2:$G$5,"pr_Projects_Results")</f>
        <v>insert into pr_Projects_Results values ('20227388', 'P-0579', 53, '29-Nov-2023');</v>
      </c>
      <c r="H267">
        <v>265</v>
      </c>
    </row>
    <row r="268" spans="1:8" x14ac:dyDescent="0.15">
      <c r="A268">
        <f t="shared" si="8"/>
        <v>20223671</v>
      </c>
      <c r="B268" t="str">
        <f t="shared" si="9"/>
        <v>P-0965</v>
      </c>
      <c r="C268" s="27">
        <v>23</v>
      </c>
      <c r="D268">
        <v>44893</v>
      </c>
      <c r="E268" t="str" cm="1">
        <f t="array" ref="E268">insertinto(A268:D268,$F$2:$G$5,"pr_Projects_Results")</f>
        <v>insert into pr_Projects_Results values ('20223671', 'P-0965', 23, '28-Nov-2022');</v>
      </c>
      <c r="H268">
        <v>266</v>
      </c>
    </row>
    <row r="269" spans="1:8" x14ac:dyDescent="0.15">
      <c r="A269">
        <f t="shared" si="8"/>
        <v>20223671</v>
      </c>
      <c r="B269" t="str">
        <f t="shared" si="9"/>
        <v>P-0416</v>
      </c>
      <c r="C269" s="27">
        <v>45</v>
      </c>
      <c r="D269">
        <v>44892</v>
      </c>
      <c r="E269" t="str" cm="1">
        <f t="array" ref="E269">insertinto(A269:D269,$F$2:$G$5,"pr_Projects_Results")</f>
        <v>insert into pr_Projects_Results values ('20223671', 'P-0416', 45, '27-Nov-2022');</v>
      </c>
      <c r="H269">
        <v>267</v>
      </c>
    </row>
    <row r="270" spans="1:8" x14ac:dyDescent="0.15">
      <c r="A270">
        <f t="shared" si="8"/>
        <v>20223671</v>
      </c>
      <c r="B270" t="str">
        <f t="shared" si="9"/>
        <v>P-0834</v>
      </c>
      <c r="C270" s="27">
        <v>7</v>
      </c>
      <c r="D270">
        <v>44895</v>
      </c>
      <c r="E270" t="str" cm="1">
        <f t="array" ref="E270">insertinto(A270:D270,$F$2:$G$5,"pr_Projects_Results")</f>
        <v>insert into pr_Projects_Results values ('20223671', 'P-0834', 7, '30-Nov-2022');</v>
      </c>
      <c r="H270">
        <v>268</v>
      </c>
    </row>
    <row r="271" spans="1:8" x14ac:dyDescent="0.15">
      <c r="A271">
        <f t="shared" si="8"/>
        <v>20223671</v>
      </c>
      <c r="B271" t="str">
        <f t="shared" si="9"/>
        <v>P-0665</v>
      </c>
      <c r="C271" s="27">
        <v>45</v>
      </c>
      <c r="D271">
        <v>45015</v>
      </c>
      <c r="E271" t="str" cm="1">
        <f t="array" ref="E271">insertinto(A271:D271,$F$2:$G$5,"pr_Projects_Results")</f>
        <v>insert into pr_Projects_Results values ('20223671', 'P-0665', 45, '30-Mar-2023');</v>
      </c>
      <c r="H271">
        <v>269</v>
      </c>
    </row>
    <row r="272" spans="1:8" x14ac:dyDescent="0.15">
      <c r="A272">
        <f t="shared" si="8"/>
        <v>20223671</v>
      </c>
      <c r="B272" t="str">
        <f t="shared" si="9"/>
        <v>P-0683</v>
      </c>
      <c r="C272" s="27">
        <v>30</v>
      </c>
      <c r="D272">
        <v>45010</v>
      </c>
      <c r="E272" t="str" cm="1">
        <f t="array" ref="E272">insertinto(A272:D272,$F$2:$G$5,"pr_Projects_Results")</f>
        <v>insert into pr_Projects_Results values ('20223671', 'P-0683', 30, '25-Mar-2023');</v>
      </c>
      <c r="H272">
        <v>270</v>
      </c>
    </row>
    <row r="273" spans="1:8" x14ac:dyDescent="0.15">
      <c r="A273">
        <f t="shared" si="8"/>
        <v>20223671</v>
      </c>
      <c r="B273" t="str">
        <f t="shared" si="9"/>
        <v>P-0575</v>
      </c>
      <c r="C273" s="27">
        <v>35</v>
      </c>
      <c r="D273">
        <v>45014</v>
      </c>
      <c r="E273" t="str" cm="1">
        <f t="array" ref="E273">insertinto(A273:D273,$F$2:$G$5,"pr_Projects_Results")</f>
        <v>insert into pr_Projects_Results values ('20223671', 'P-0575', 35, '29-Mar-2023');</v>
      </c>
      <c r="H273">
        <v>271</v>
      </c>
    </row>
    <row r="274" spans="1:8" x14ac:dyDescent="0.15">
      <c r="A274">
        <f t="shared" si="8"/>
        <v>20223671</v>
      </c>
      <c r="B274" t="str">
        <f t="shared" si="9"/>
        <v>P-0699</v>
      </c>
      <c r="C274" s="27">
        <v>15</v>
      </c>
      <c r="D274">
        <v>45015</v>
      </c>
      <c r="E274" t="str" cm="1">
        <f t="array" ref="E274">insertinto(A274:D274,$F$2:$G$5,"pr_Projects_Results")</f>
        <v>insert into pr_Projects_Results values ('20223671', 'P-0699', 15, '30-Mar-2023');</v>
      </c>
      <c r="H274">
        <v>272</v>
      </c>
    </row>
    <row r="275" spans="1:8" x14ac:dyDescent="0.15">
      <c r="A275">
        <f t="shared" si="8"/>
        <v>20223671</v>
      </c>
      <c r="B275" t="str">
        <f t="shared" si="9"/>
        <v>P-0092</v>
      </c>
      <c r="C275" s="27">
        <v>37</v>
      </c>
      <c r="D275">
        <v>45089</v>
      </c>
      <c r="E275" t="str" cm="1">
        <f t="array" ref="E275">insertinto(A275:D275,$F$2:$G$5,"pr_Projects_Results")</f>
        <v>insert into pr_Projects_Results values ('20223671', 'P-0092', 37, '12-Jun-2023');</v>
      </c>
      <c r="H275">
        <v>273</v>
      </c>
    </row>
    <row r="276" spans="1:8" x14ac:dyDescent="0.15">
      <c r="A276">
        <f t="shared" si="8"/>
        <v>20223671</v>
      </c>
      <c r="B276" t="str">
        <f t="shared" si="9"/>
        <v>P-0642</v>
      </c>
      <c r="C276" s="27">
        <v>38</v>
      </c>
      <c r="D276">
        <v>45069</v>
      </c>
      <c r="E276" t="str" cm="1">
        <f t="array" ref="E276">insertinto(A276:D276,$F$2:$G$5,"pr_Projects_Results")</f>
        <v>insert into pr_Projects_Results values ('20223671', 'P-0642', 38, '23-May-2023');</v>
      </c>
      <c r="H276">
        <v>274</v>
      </c>
    </row>
    <row r="277" spans="1:8" x14ac:dyDescent="0.15">
      <c r="A277">
        <f t="shared" si="8"/>
        <v>20223671</v>
      </c>
      <c r="B277" t="str">
        <f t="shared" si="9"/>
        <v>P-0556</v>
      </c>
      <c r="C277" s="27">
        <v>10</v>
      </c>
      <c r="D277">
        <v>45086</v>
      </c>
      <c r="E277" t="str" cm="1">
        <f t="array" ref="E277">insertinto(A277:D277,$F$2:$G$5,"pr_Projects_Results")</f>
        <v>insert into pr_Projects_Results values ('20223671', 'P-0556', 10, '09-Jun-2023');</v>
      </c>
      <c r="H277">
        <v>275</v>
      </c>
    </row>
    <row r="278" spans="1:8" x14ac:dyDescent="0.15">
      <c r="A278">
        <f t="shared" si="8"/>
        <v>20223671</v>
      </c>
      <c r="B278" t="str">
        <f t="shared" si="9"/>
        <v>P-0831</v>
      </c>
      <c r="C278" s="27">
        <v>48</v>
      </c>
      <c r="D278">
        <v>45263</v>
      </c>
      <c r="E278" t="str" cm="1">
        <f t="array" ref="E278">insertinto(A278:D278,$F$2:$G$5,"pr_Projects_Results")</f>
        <v>insert into pr_Projects_Results values ('20223671', 'P-0831', 48, '03-Dec-2023');</v>
      </c>
      <c r="H278">
        <v>276</v>
      </c>
    </row>
    <row r="279" spans="1:8" x14ac:dyDescent="0.15">
      <c r="A279">
        <f t="shared" si="8"/>
        <v>20223671</v>
      </c>
      <c r="B279" t="str">
        <f t="shared" si="9"/>
        <v>P-0722</v>
      </c>
      <c r="C279" s="27">
        <v>54</v>
      </c>
      <c r="D279">
        <v>45262</v>
      </c>
      <c r="E279" t="str" cm="1">
        <f t="array" ref="E279">insertinto(A279:D279,$F$2:$G$5,"pr_Projects_Results")</f>
        <v>insert into pr_Projects_Results values ('20223671', 'P-0722', 54, '02-Dec-2023');</v>
      </c>
      <c r="H279">
        <v>277</v>
      </c>
    </row>
    <row r="280" spans="1:8" x14ac:dyDescent="0.15">
      <c r="A280">
        <f t="shared" si="8"/>
        <v>20223671</v>
      </c>
      <c r="B280" t="str">
        <f t="shared" si="9"/>
        <v>P-0745</v>
      </c>
      <c r="C280" s="27">
        <v>52</v>
      </c>
      <c r="D280">
        <v>45234</v>
      </c>
      <c r="E280" t="str" cm="1">
        <f t="array" ref="E280">insertinto(A280:D280,$F$2:$G$5,"pr_Projects_Results")</f>
        <v>insert into pr_Projects_Results values ('20223671', 'P-0745', 52, '04-Nov-2023');</v>
      </c>
      <c r="H280">
        <v>278</v>
      </c>
    </row>
    <row r="281" spans="1:8" x14ac:dyDescent="0.15">
      <c r="A281">
        <f t="shared" si="8"/>
        <v>20223671</v>
      </c>
      <c r="B281" t="str">
        <f t="shared" si="9"/>
        <v>P-0579</v>
      </c>
      <c r="C281" s="27">
        <v>34</v>
      </c>
      <c r="D281">
        <v>45259</v>
      </c>
      <c r="E281" t="str" cm="1">
        <f t="array" ref="E281">insertinto(A281:D281,$F$2:$G$5,"pr_Projects_Results")</f>
        <v>insert into pr_Projects_Results values ('20223671', 'P-0579', 34, '29-Nov-2023');</v>
      </c>
      <c r="H281">
        <v>279</v>
      </c>
    </row>
    <row r="282" spans="1:8" x14ac:dyDescent="0.15">
      <c r="D282" s="27"/>
    </row>
    <row r="283" spans="1:8" x14ac:dyDescent="0.15">
      <c r="D283" s="27"/>
    </row>
    <row r="284" spans="1:8" x14ac:dyDescent="0.15">
      <c r="D284" s="27"/>
    </row>
    <row r="285" spans="1:8" x14ac:dyDescent="0.15">
      <c r="D285" s="27"/>
    </row>
    <row r="286" spans="1:8" x14ac:dyDescent="0.15">
      <c r="D286" s="27"/>
    </row>
    <row r="287" spans="1:8" x14ac:dyDescent="0.15">
      <c r="D287" s="27"/>
    </row>
    <row r="288" spans="1:8" x14ac:dyDescent="0.15">
      <c r="D288" s="27"/>
    </row>
    <row r="289" spans="4:4" x14ac:dyDescent="0.15">
      <c r="D289" s="27"/>
    </row>
    <row r="290" spans="4:4" x14ac:dyDescent="0.15">
      <c r="D290" s="27"/>
    </row>
    <row r="291" spans="4:4" x14ac:dyDescent="0.15">
      <c r="D291" s="27"/>
    </row>
    <row r="292" spans="4:4" x14ac:dyDescent="0.15">
      <c r="D292" s="27"/>
    </row>
    <row r="293" spans="4:4" x14ac:dyDescent="0.15">
      <c r="D293" s="27"/>
    </row>
    <row r="294" spans="4:4" x14ac:dyDescent="0.15">
      <c r="D294" s="27"/>
    </row>
    <row r="295" spans="4:4" x14ac:dyDescent="0.15">
      <c r="D295" s="27"/>
    </row>
    <row r="296" spans="4:4" x14ac:dyDescent="0.15">
      <c r="D296" s="27"/>
    </row>
    <row r="297" spans="4:4" x14ac:dyDescent="0.15">
      <c r="D297" s="27"/>
    </row>
    <row r="298" spans="4:4" x14ac:dyDescent="0.15">
      <c r="D298" s="27"/>
    </row>
    <row r="299" spans="4:4" x14ac:dyDescent="0.15">
      <c r="D299" s="27"/>
    </row>
    <row r="300" spans="4:4" x14ac:dyDescent="0.15">
      <c r="D300" s="27"/>
    </row>
    <row r="301" spans="4:4" x14ac:dyDescent="0.15">
      <c r="D301" s="27"/>
    </row>
    <row r="302" spans="4:4" x14ac:dyDescent="0.15">
      <c r="D302" s="27"/>
    </row>
    <row r="303" spans="4:4" x14ac:dyDescent="0.15">
      <c r="D303" s="27"/>
    </row>
    <row r="304" spans="4:4" x14ac:dyDescent="0.15">
      <c r="D304" s="27"/>
    </row>
    <row r="305" spans="4:4" x14ac:dyDescent="0.15">
      <c r="D305" s="27"/>
    </row>
    <row r="306" spans="4:4" x14ac:dyDescent="0.15">
      <c r="D306" s="27"/>
    </row>
    <row r="307" spans="4:4" x14ac:dyDescent="0.15">
      <c r="D307" s="27"/>
    </row>
    <row r="308" spans="4:4" x14ac:dyDescent="0.15">
      <c r="D308" s="27"/>
    </row>
    <row r="309" spans="4:4" x14ac:dyDescent="0.15">
      <c r="D309" s="27"/>
    </row>
    <row r="310" spans="4:4" x14ac:dyDescent="0.15">
      <c r="D310" s="27"/>
    </row>
    <row r="311" spans="4:4" x14ac:dyDescent="0.15">
      <c r="D311" s="27"/>
    </row>
    <row r="312" spans="4:4" x14ac:dyDescent="0.15">
      <c r="D312" s="27"/>
    </row>
    <row r="313" spans="4:4" x14ac:dyDescent="0.15">
      <c r="D313" s="27"/>
    </row>
    <row r="314" spans="4:4" x14ac:dyDescent="0.15">
      <c r="D314" s="27"/>
    </row>
    <row r="315" spans="4:4" x14ac:dyDescent="0.15">
      <c r="D315" s="27"/>
    </row>
    <row r="316" spans="4:4" x14ac:dyDescent="0.15">
      <c r="D316" s="27"/>
    </row>
    <row r="317" spans="4:4" x14ac:dyDescent="0.15">
      <c r="D317" s="27"/>
    </row>
    <row r="318" spans="4:4" x14ac:dyDescent="0.15">
      <c r="D318" s="27"/>
    </row>
    <row r="319" spans="4:4" x14ac:dyDescent="0.15">
      <c r="D319" s="27"/>
    </row>
    <row r="320" spans="4:4" x14ac:dyDescent="0.15">
      <c r="D320" s="27"/>
    </row>
    <row r="321" spans="4:4" x14ac:dyDescent="0.15">
      <c r="D321" s="27"/>
    </row>
    <row r="322" spans="4:4" x14ac:dyDescent="0.15">
      <c r="D322" s="27"/>
    </row>
    <row r="323" spans="4:4" x14ac:dyDescent="0.15">
      <c r="D323" s="27"/>
    </row>
    <row r="324" spans="4:4" x14ac:dyDescent="0.15">
      <c r="D324" s="27"/>
    </row>
    <row r="325" spans="4:4" x14ac:dyDescent="0.15">
      <c r="D325" s="27"/>
    </row>
    <row r="326" spans="4:4" x14ac:dyDescent="0.15">
      <c r="D326" s="27"/>
    </row>
    <row r="327" spans="4:4" x14ac:dyDescent="0.15">
      <c r="D327" s="27"/>
    </row>
    <row r="328" spans="4:4" x14ac:dyDescent="0.15">
      <c r="D328" s="27"/>
    </row>
    <row r="329" spans="4:4" x14ac:dyDescent="0.15">
      <c r="D329" s="27"/>
    </row>
    <row r="330" spans="4:4" x14ac:dyDescent="0.15">
      <c r="D330" s="27"/>
    </row>
    <row r="331" spans="4:4" x14ac:dyDescent="0.15">
      <c r="D331" s="27"/>
    </row>
    <row r="332" spans="4:4" x14ac:dyDescent="0.15">
      <c r="D332" s="27"/>
    </row>
    <row r="333" spans="4:4" x14ac:dyDescent="0.15">
      <c r="D333" s="27"/>
    </row>
    <row r="334" spans="4:4" x14ac:dyDescent="0.15">
      <c r="D334" s="27"/>
    </row>
    <row r="335" spans="4:4" x14ac:dyDescent="0.15">
      <c r="D335" s="27"/>
    </row>
    <row r="336" spans="4:4" x14ac:dyDescent="0.15">
      <c r="D336" s="27"/>
    </row>
    <row r="337" spans="4:4" x14ac:dyDescent="0.15">
      <c r="D337" s="27"/>
    </row>
    <row r="338" spans="4:4" x14ac:dyDescent="0.15">
      <c r="D338" s="27"/>
    </row>
    <row r="339" spans="4:4" x14ac:dyDescent="0.15">
      <c r="D339" s="27"/>
    </row>
    <row r="340" spans="4:4" x14ac:dyDescent="0.15">
      <c r="D340" s="27"/>
    </row>
    <row r="341" spans="4:4" x14ac:dyDescent="0.15">
      <c r="D341" s="27"/>
    </row>
    <row r="342" spans="4:4" x14ac:dyDescent="0.15">
      <c r="D342" s="27"/>
    </row>
    <row r="343" spans="4:4" x14ac:dyDescent="0.15">
      <c r="D343" s="27"/>
    </row>
    <row r="344" spans="4:4" x14ac:dyDescent="0.15">
      <c r="D344" s="27"/>
    </row>
    <row r="345" spans="4:4" x14ac:dyDescent="0.15">
      <c r="D345" s="27"/>
    </row>
    <row r="346" spans="4:4" x14ac:dyDescent="0.15">
      <c r="D346" s="27"/>
    </row>
    <row r="347" spans="4:4" x14ac:dyDescent="0.15">
      <c r="D347" s="27"/>
    </row>
    <row r="348" spans="4:4" x14ac:dyDescent="0.15">
      <c r="D348" s="27"/>
    </row>
    <row r="349" spans="4:4" x14ac:dyDescent="0.15">
      <c r="D349" s="27"/>
    </row>
    <row r="350" spans="4:4" x14ac:dyDescent="0.15">
      <c r="D350" s="27"/>
    </row>
    <row r="351" spans="4:4" x14ac:dyDescent="0.15">
      <c r="D351" s="27"/>
    </row>
    <row r="352" spans="4:4" x14ac:dyDescent="0.15">
      <c r="D352" s="27"/>
    </row>
    <row r="353" spans="4:4" x14ac:dyDescent="0.15">
      <c r="D353" s="27"/>
    </row>
    <row r="354" spans="4:4" x14ac:dyDescent="0.15">
      <c r="D354" s="27"/>
    </row>
    <row r="355" spans="4:4" x14ac:dyDescent="0.15">
      <c r="D355" s="27"/>
    </row>
    <row r="356" spans="4:4" x14ac:dyDescent="0.15">
      <c r="D356" s="27"/>
    </row>
    <row r="357" spans="4:4" x14ac:dyDescent="0.15">
      <c r="D357" s="27"/>
    </row>
    <row r="358" spans="4:4" x14ac:dyDescent="0.15">
      <c r="D358" s="27"/>
    </row>
    <row r="359" spans="4:4" x14ac:dyDescent="0.15">
      <c r="D359" s="27"/>
    </row>
    <row r="360" spans="4:4" x14ac:dyDescent="0.15">
      <c r="D360" s="27"/>
    </row>
    <row r="361" spans="4:4" x14ac:dyDescent="0.15">
      <c r="D361" s="27"/>
    </row>
    <row r="362" spans="4:4" x14ac:dyDescent="0.15">
      <c r="D362" s="27"/>
    </row>
    <row r="363" spans="4:4" x14ac:dyDescent="0.15">
      <c r="D363" s="27"/>
    </row>
    <row r="364" spans="4:4" x14ac:dyDescent="0.15">
      <c r="D364" s="27"/>
    </row>
    <row r="365" spans="4:4" x14ac:dyDescent="0.15">
      <c r="D365" s="27"/>
    </row>
    <row r="366" spans="4:4" x14ac:dyDescent="0.15">
      <c r="D366" s="27"/>
    </row>
    <row r="367" spans="4:4" x14ac:dyDescent="0.15">
      <c r="D367" s="27"/>
    </row>
    <row r="368" spans="4:4" x14ac:dyDescent="0.15">
      <c r="D368" s="27"/>
    </row>
    <row r="369" spans="4:4" x14ac:dyDescent="0.15">
      <c r="D369" s="27"/>
    </row>
    <row r="370" spans="4:4" x14ac:dyDescent="0.15">
      <c r="D370" s="27"/>
    </row>
    <row r="371" spans="4:4" x14ac:dyDescent="0.15">
      <c r="D371" s="27"/>
    </row>
    <row r="372" spans="4:4" x14ac:dyDescent="0.15">
      <c r="D372" s="27"/>
    </row>
    <row r="373" spans="4:4" x14ac:dyDescent="0.15">
      <c r="D373" s="27"/>
    </row>
    <row r="374" spans="4:4" x14ac:dyDescent="0.15">
      <c r="D374" s="27"/>
    </row>
    <row r="375" spans="4:4" x14ac:dyDescent="0.15">
      <c r="D375" s="27"/>
    </row>
    <row r="376" spans="4:4" x14ac:dyDescent="0.15">
      <c r="D376" s="27"/>
    </row>
    <row r="377" spans="4:4" x14ac:dyDescent="0.15">
      <c r="D377" s="27"/>
    </row>
    <row r="378" spans="4:4" x14ac:dyDescent="0.15">
      <c r="D378" s="27"/>
    </row>
    <row r="379" spans="4:4" x14ac:dyDescent="0.15">
      <c r="D379" s="27"/>
    </row>
    <row r="380" spans="4:4" x14ac:dyDescent="0.15">
      <c r="D380" s="27"/>
    </row>
    <row r="381" spans="4:4" x14ac:dyDescent="0.15">
      <c r="D381" s="27"/>
    </row>
    <row r="382" spans="4:4" x14ac:dyDescent="0.15">
      <c r="D382" s="27"/>
    </row>
    <row r="383" spans="4:4" x14ac:dyDescent="0.15">
      <c r="D383" s="27"/>
    </row>
    <row r="384" spans="4:4" x14ac:dyDescent="0.15">
      <c r="D384" s="27"/>
    </row>
    <row r="385" spans="4:4" x14ac:dyDescent="0.15">
      <c r="D385" s="27"/>
    </row>
    <row r="386" spans="4:4" x14ac:dyDescent="0.15">
      <c r="D386" s="27"/>
    </row>
    <row r="387" spans="4:4" x14ac:dyDescent="0.15">
      <c r="D387" s="27"/>
    </row>
    <row r="388" spans="4:4" x14ac:dyDescent="0.15">
      <c r="D388" s="27"/>
    </row>
    <row r="389" spans="4:4" x14ac:dyDescent="0.15">
      <c r="D389" s="27"/>
    </row>
    <row r="390" spans="4:4" x14ac:dyDescent="0.15">
      <c r="D390" s="27"/>
    </row>
    <row r="391" spans="4:4" x14ac:dyDescent="0.15">
      <c r="D391" s="27"/>
    </row>
    <row r="392" spans="4:4" x14ac:dyDescent="0.15">
      <c r="D392" s="27"/>
    </row>
    <row r="393" spans="4:4" x14ac:dyDescent="0.15">
      <c r="D393" s="27"/>
    </row>
    <row r="394" spans="4:4" x14ac:dyDescent="0.15">
      <c r="D394" s="27"/>
    </row>
    <row r="395" spans="4:4" x14ac:dyDescent="0.15">
      <c r="D395" s="27"/>
    </row>
    <row r="396" spans="4:4" x14ac:dyDescent="0.15">
      <c r="D396" s="27"/>
    </row>
    <row r="397" spans="4:4" x14ac:dyDescent="0.15">
      <c r="D397" s="27"/>
    </row>
    <row r="398" spans="4:4" x14ac:dyDescent="0.15">
      <c r="D398" s="27"/>
    </row>
    <row r="399" spans="4:4" x14ac:dyDescent="0.15">
      <c r="D399" s="27"/>
    </row>
    <row r="400" spans="4:4" x14ac:dyDescent="0.15">
      <c r="D400" s="27"/>
    </row>
    <row r="401" spans="4:4" x14ac:dyDescent="0.15">
      <c r="D401" s="27"/>
    </row>
    <row r="402" spans="4:4" x14ac:dyDescent="0.15">
      <c r="D402" s="27"/>
    </row>
    <row r="403" spans="4:4" x14ac:dyDescent="0.15">
      <c r="D403" s="27"/>
    </row>
    <row r="404" spans="4:4" x14ac:dyDescent="0.15">
      <c r="D404" s="27"/>
    </row>
    <row r="405" spans="4:4" x14ac:dyDescent="0.15">
      <c r="D405" s="27"/>
    </row>
    <row r="406" spans="4:4" x14ac:dyDescent="0.15">
      <c r="D406" s="27"/>
    </row>
    <row r="407" spans="4:4" x14ac:dyDescent="0.15">
      <c r="D407" s="27"/>
    </row>
    <row r="408" spans="4:4" x14ac:dyDescent="0.15">
      <c r="D408" s="27"/>
    </row>
    <row r="409" spans="4:4" x14ac:dyDescent="0.15">
      <c r="D409" s="27"/>
    </row>
    <row r="410" spans="4:4" x14ac:dyDescent="0.15">
      <c r="D410" s="27"/>
    </row>
    <row r="411" spans="4:4" x14ac:dyDescent="0.15">
      <c r="D411" s="27"/>
    </row>
    <row r="412" spans="4:4" x14ac:dyDescent="0.15">
      <c r="D412" s="27"/>
    </row>
    <row r="413" spans="4:4" x14ac:dyDescent="0.15">
      <c r="D413" s="27"/>
    </row>
    <row r="414" spans="4:4" x14ac:dyDescent="0.15">
      <c r="D414" s="27"/>
    </row>
    <row r="415" spans="4:4" x14ac:dyDescent="0.15">
      <c r="D415" s="27"/>
    </row>
    <row r="416" spans="4:4" x14ac:dyDescent="0.15">
      <c r="D416" s="27"/>
    </row>
    <row r="417" spans="4:4" x14ac:dyDescent="0.15">
      <c r="D417" s="27"/>
    </row>
    <row r="418" spans="4:4" x14ac:dyDescent="0.15">
      <c r="D418" s="27"/>
    </row>
    <row r="419" spans="4:4" x14ac:dyDescent="0.15">
      <c r="D419" s="27"/>
    </row>
    <row r="420" spans="4:4" x14ac:dyDescent="0.15">
      <c r="D420" s="27"/>
    </row>
    <row r="421" spans="4:4" x14ac:dyDescent="0.15">
      <c r="D421" s="27"/>
    </row>
    <row r="422" spans="4:4" x14ac:dyDescent="0.15">
      <c r="D422" s="27"/>
    </row>
    <row r="423" spans="4:4" x14ac:dyDescent="0.15">
      <c r="D423" s="27"/>
    </row>
    <row r="424" spans="4:4" x14ac:dyDescent="0.15">
      <c r="D424" s="27"/>
    </row>
    <row r="425" spans="4:4" x14ac:dyDescent="0.15">
      <c r="D425" s="27"/>
    </row>
    <row r="426" spans="4:4" x14ac:dyDescent="0.15">
      <c r="D426" s="27"/>
    </row>
    <row r="427" spans="4:4" x14ac:dyDescent="0.15">
      <c r="D427" s="27"/>
    </row>
    <row r="428" spans="4:4" x14ac:dyDescent="0.15">
      <c r="D428" s="27"/>
    </row>
    <row r="429" spans="4:4" x14ac:dyDescent="0.15">
      <c r="D429" s="27"/>
    </row>
    <row r="430" spans="4:4" x14ac:dyDescent="0.15">
      <c r="D430" s="27"/>
    </row>
    <row r="431" spans="4:4" x14ac:dyDescent="0.15">
      <c r="D431" s="27"/>
    </row>
    <row r="432" spans="4:4" x14ac:dyDescent="0.15">
      <c r="D432" s="27"/>
    </row>
    <row r="433" spans="4:4" x14ac:dyDescent="0.15">
      <c r="D433" s="27"/>
    </row>
    <row r="434" spans="4:4" x14ac:dyDescent="0.15">
      <c r="D434" s="27"/>
    </row>
    <row r="435" spans="4:4" x14ac:dyDescent="0.15">
      <c r="D435" s="27"/>
    </row>
    <row r="436" spans="4:4" x14ac:dyDescent="0.15">
      <c r="D436" s="27"/>
    </row>
    <row r="437" spans="4:4" x14ac:dyDescent="0.15">
      <c r="D437" s="27"/>
    </row>
    <row r="438" spans="4:4" x14ac:dyDescent="0.15">
      <c r="D438" s="27"/>
    </row>
    <row r="439" spans="4:4" x14ac:dyDescent="0.15">
      <c r="D439" s="27"/>
    </row>
    <row r="440" spans="4:4" x14ac:dyDescent="0.15">
      <c r="D440" s="27"/>
    </row>
    <row r="441" spans="4:4" x14ac:dyDescent="0.15">
      <c r="D441" s="27"/>
    </row>
    <row r="442" spans="4:4" x14ac:dyDescent="0.15">
      <c r="D442" s="27"/>
    </row>
    <row r="443" spans="4:4" x14ac:dyDescent="0.15">
      <c r="D443" s="27"/>
    </row>
    <row r="444" spans="4:4" x14ac:dyDescent="0.15">
      <c r="D444" s="27"/>
    </row>
    <row r="445" spans="4:4" x14ac:dyDescent="0.15">
      <c r="D445" s="27"/>
    </row>
    <row r="446" spans="4:4" x14ac:dyDescent="0.15">
      <c r="D446" s="27"/>
    </row>
    <row r="447" spans="4:4" x14ac:dyDescent="0.15">
      <c r="D447" s="27"/>
    </row>
    <row r="448" spans="4:4" x14ac:dyDescent="0.15">
      <c r="D448" s="27"/>
    </row>
    <row r="449" spans="4:4" x14ac:dyDescent="0.15">
      <c r="D449" s="27"/>
    </row>
    <row r="450" spans="4:4" x14ac:dyDescent="0.15">
      <c r="D450" s="27"/>
    </row>
    <row r="451" spans="4:4" x14ac:dyDescent="0.15">
      <c r="D451" s="27"/>
    </row>
    <row r="452" spans="4:4" x14ac:dyDescent="0.15">
      <c r="D452" s="27"/>
    </row>
    <row r="453" spans="4:4" x14ac:dyDescent="0.15">
      <c r="D453" s="27"/>
    </row>
    <row r="454" spans="4:4" x14ac:dyDescent="0.15">
      <c r="D454" s="27"/>
    </row>
    <row r="455" spans="4:4" x14ac:dyDescent="0.15">
      <c r="D455" s="27"/>
    </row>
    <row r="456" spans="4:4" x14ac:dyDescent="0.15">
      <c r="D456" s="27"/>
    </row>
    <row r="457" spans="4:4" x14ac:dyDescent="0.15">
      <c r="D457" s="27"/>
    </row>
    <row r="458" spans="4:4" x14ac:dyDescent="0.15">
      <c r="D458" s="27"/>
    </row>
    <row r="459" spans="4:4" x14ac:dyDescent="0.15">
      <c r="D459" s="27"/>
    </row>
    <row r="460" spans="4:4" x14ac:dyDescent="0.15">
      <c r="D460" s="27"/>
    </row>
    <row r="461" spans="4:4" x14ac:dyDescent="0.15">
      <c r="D461" s="27"/>
    </row>
    <row r="462" spans="4:4" x14ac:dyDescent="0.15">
      <c r="D462" s="27"/>
    </row>
    <row r="463" spans="4:4" x14ac:dyDescent="0.15">
      <c r="D463" s="27"/>
    </row>
    <row r="464" spans="4:4" x14ac:dyDescent="0.15">
      <c r="D464" s="27"/>
    </row>
    <row r="465" spans="4:4" x14ac:dyDescent="0.15">
      <c r="D465" s="27"/>
    </row>
    <row r="466" spans="4:4" x14ac:dyDescent="0.15">
      <c r="D466" s="27"/>
    </row>
    <row r="467" spans="4:4" x14ac:dyDescent="0.15">
      <c r="D467" s="27"/>
    </row>
    <row r="468" spans="4:4" x14ac:dyDescent="0.15">
      <c r="D468" s="27"/>
    </row>
    <row r="469" spans="4:4" x14ac:dyDescent="0.15">
      <c r="D469" s="27"/>
    </row>
    <row r="470" spans="4:4" x14ac:dyDescent="0.15">
      <c r="D470" s="27"/>
    </row>
    <row r="471" spans="4:4" x14ac:dyDescent="0.15">
      <c r="D471" s="27"/>
    </row>
    <row r="472" spans="4:4" x14ac:dyDescent="0.15">
      <c r="D472" s="27"/>
    </row>
    <row r="473" spans="4:4" x14ac:dyDescent="0.15">
      <c r="D473" s="27"/>
    </row>
    <row r="474" spans="4:4" x14ac:dyDescent="0.15">
      <c r="D474" s="27"/>
    </row>
    <row r="475" spans="4:4" x14ac:dyDescent="0.15">
      <c r="D475" s="27"/>
    </row>
    <row r="476" spans="4:4" x14ac:dyDescent="0.15">
      <c r="D476" s="27"/>
    </row>
    <row r="477" spans="4:4" x14ac:dyDescent="0.15">
      <c r="D477" s="27"/>
    </row>
    <row r="478" spans="4:4" x14ac:dyDescent="0.15">
      <c r="D478" s="27"/>
    </row>
    <row r="479" spans="4:4" x14ac:dyDescent="0.15">
      <c r="D479" s="27"/>
    </row>
    <row r="480" spans="4:4" x14ac:dyDescent="0.15">
      <c r="D480" s="27"/>
    </row>
    <row r="481" spans="4:4" x14ac:dyDescent="0.15">
      <c r="D481" s="27"/>
    </row>
    <row r="482" spans="4:4" x14ac:dyDescent="0.15">
      <c r="D482" s="27"/>
    </row>
    <row r="483" spans="4:4" x14ac:dyDescent="0.15">
      <c r="D483" s="27"/>
    </row>
    <row r="484" spans="4:4" x14ac:dyDescent="0.15">
      <c r="D484" s="27"/>
    </row>
    <row r="485" spans="4:4" x14ac:dyDescent="0.15">
      <c r="D485" s="27"/>
    </row>
    <row r="486" spans="4:4" x14ac:dyDescent="0.15">
      <c r="D486" s="27"/>
    </row>
    <row r="487" spans="4:4" x14ac:dyDescent="0.15">
      <c r="D487" s="27"/>
    </row>
    <row r="488" spans="4:4" x14ac:dyDescent="0.15">
      <c r="D488" s="27"/>
    </row>
    <row r="489" spans="4:4" x14ac:dyDescent="0.15">
      <c r="D489" s="27"/>
    </row>
    <row r="490" spans="4:4" x14ac:dyDescent="0.15">
      <c r="D490" s="27"/>
    </row>
    <row r="491" spans="4:4" x14ac:dyDescent="0.15">
      <c r="D491" s="27"/>
    </row>
    <row r="492" spans="4:4" x14ac:dyDescent="0.15">
      <c r="D492" s="27"/>
    </row>
    <row r="493" spans="4:4" x14ac:dyDescent="0.15">
      <c r="D493" s="27"/>
    </row>
    <row r="494" spans="4:4" x14ac:dyDescent="0.15">
      <c r="D494" s="27"/>
    </row>
    <row r="495" spans="4:4" x14ac:dyDescent="0.15">
      <c r="D495" s="27"/>
    </row>
    <row r="496" spans="4:4" x14ac:dyDescent="0.15">
      <c r="D496" s="27"/>
    </row>
    <row r="497" spans="4:4" x14ac:dyDescent="0.15">
      <c r="D497" s="27"/>
    </row>
    <row r="498" spans="4:4" x14ac:dyDescent="0.15">
      <c r="D498" s="27"/>
    </row>
    <row r="499" spans="4:4" x14ac:dyDescent="0.15">
      <c r="D499" s="27"/>
    </row>
    <row r="500" spans="4:4" x14ac:dyDescent="0.15">
      <c r="D500" s="27"/>
    </row>
    <row r="501" spans="4:4" x14ac:dyDescent="0.15">
      <c r="D501" s="27"/>
    </row>
    <row r="502" spans="4:4" x14ac:dyDescent="0.15">
      <c r="D502" s="27"/>
    </row>
    <row r="503" spans="4:4" x14ac:dyDescent="0.15">
      <c r="D503" s="27"/>
    </row>
    <row r="504" spans="4:4" x14ac:dyDescent="0.15">
      <c r="D504" s="27"/>
    </row>
    <row r="505" spans="4:4" x14ac:dyDescent="0.15">
      <c r="D505" s="27"/>
    </row>
    <row r="506" spans="4:4" x14ac:dyDescent="0.15">
      <c r="D506" s="27"/>
    </row>
    <row r="507" spans="4:4" x14ac:dyDescent="0.15">
      <c r="D507" s="27"/>
    </row>
    <row r="508" spans="4:4" x14ac:dyDescent="0.15">
      <c r="D508" s="27"/>
    </row>
    <row r="509" spans="4:4" x14ac:dyDescent="0.15">
      <c r="D509" s="27"/>
    </row>
    <row r="510" spans="4:4" x14ac:dyDescent="0.15">
      <c r="D510" s="27"/>
    </row>
    <row r="511" spans="4:4" x14ac:dyDescent="0.15">
      <c r="D511" s="27"/>
    </row>
    <row r="512" spans="4:4" x14ac:dyDescent="0.15">
      <c r="D512" s="27"/>
    </row>
    <row r="513" spans="4:4" x14ac:dyDescent="0.15">
      <c r="D513" s="27"/>
    </row>
    <row r="514" spans="4:4" x14ac:dyDescent="0.15">
      <c r="D514" s="27"/>
    </row>
    <row r="515" spans="4:4" x14ac:dyDescent="0.15">
      <c r="D515" s="27"/>
    </row>
    <row r="516" spans="4:4" x14ac:dyDescent="0.15">
      <c r="D516" s="27"/>
    </row>
    <row r="517" spans="4:4" x14ac:dyDescent="0.15">
      <c r="D517" s="27"/>
    </row>
    <row r="518" spans="4:4" x14ac:dyDescent="0.15">
      <c r="D518" s="27"/>
    </row>
    <row r="519" spans="4:4" x14ac:dyDescent="0.15">
      <c r="D519" s="27"/>
    </row>
    <row r="520" spans="4:4" x14ac:dyDescent="0.15">
      <c r="D520" s="27"/>
    </row>
    <row r="521" spans="4:4" x14ac:dyDescent="0.15">
      <c r="D521" s="27"/>
    </row>
    <row r="522" spans="4:4" x14ac:dyDescent="0.15">
      <c r="D522" s="27"/>
    </row>
    <row r="523" spans="4:4" x14ac:dyDescent="0.15">
      <c r="D523" s="27"/>
    </row>
    <row r="524" spans="4:4" x14ac:dyDescent="0.15">
      <c r="D524" s="27"/>
    </row>
    <row r="525" spans="4:4" x14ac:dyDescent="0.15">
      <c r="D525" s="27"/>
    </row>
    <row r="526" spans="4:4" x14ac:dyDescent="0.15">
      <c r="D526" s="27"/>
    </row>
    <row r="527" spans="4:4" x14ac:dyDescent="0.15">
      <c r="D527" s="27"/>
    </row>
    <row r="528" spans="4:4" x14ac:dyDescent="0.15">
      <c r="D528" s="27"/>
    </row>
    <row r="529" spans="4:4" x14ac:dyDescent="0.15">
      <c r="D529" s="27"/>
    </row>
    <row r="530" spans="4:4" x14ac:dyDescent="0.15">
      <c r="D530" s="27"/>
    </row>
    <row r="531" spans="4:4" x14ac:dyDescent="0.15">
      <c r="D531" s="27"/>
    </row>
    <row r="532" spans="4:4" x14ac:dyDescent="0.15">
      <c r="D532" s="27"/>
    </row>
    <row r="533" spans="4:4" x14ac:dyDescent="0.15">
      <c r="D533" s="27"/>
    </row>
    <row r="534" spans="4:4" x14ac:dyDescent="0.15">
      <c r="D534" s="27"/>
    </row>
    <row r="535" spans="4:4" x14ac:dyDescent="0.15">
      <c r="D535" s="27"/>
    </row>
    <row r="536" spans="4:4" x14ac:dyDescent="0.15">
      <c r="D536" s="27"/>
    </row>
    <row r="537" spans="4:4" x14ac:dyDescent="0.15">
      <c r="D537" s="27"/>
    </row>
    <row r="538" spans="4:4" x14ac:dyDescent="0.15">
      <c r="D538" s="27"/>
    </row>
    <row r="539" spans="4:4" x14ac:dyDescent="0.15">
      <c r="D539" s="27"/>
    </row>
    <row r="540" spans="4:4" x14ac:dyDescent="0.15">
      <c r="D540" s="27"/>
    </row>
    <row r="541" spans="4:4" x14ac:dyDescent="0.15">
      <c r="D541" s="27"/>
    </row>
    <row r="542" spans="4:4" x14ac:dyDescent="0.15">
      <c r="D542" s="27"/>
    </row>
    <row r="543" spans="4:4" x14ac:dyDescent="0.15">
      <c r="D543" s="27"/>
    </row>
    <row r="544" spans="4:4" x14ac:dyDescent="0.15">
      <c r="D544" s="27"/>
    </row>
    <row r="545" spans="4:4" x14ac:dyDescent="0.15">
      <c r="D545" s="27"/>
    </row>
    <row r="546" spans="4:4" x14ac:dyDescent="0.15">
      <c r="D546" s="27"/>
    </row>
    <row r="547" spans="4:4" x14ac:dyDescent="0.15">
      <c r="D547" s="27"/>
    </row>
    <row r="548" spans="4:4" x14ac:dyDescent="0.15">
      <c r="D548" s="27"/>
    </row>
    <row r="549" spans="4:4" x14ac:dyDescent="0.15">
      <c r="D549" s="27"/>
    </row>
    <row r="550" spans="4:4" x14ac:dyDescent="0.15">
      <c r="D550" s="27"/>
    </row>
    <row r="551" spans="4:4" x14ac:dyDescent="0.15">
      <c r="D551" s="27"/>
    </row>
    <row r="552" spans="4:4" x14ac:dyDescent="0.15">
      <c r="D552" s="27"/>
    </row>
    <row r="553" spans="4:4" x14ac:dyDescent="0.15">
      <c r="D553" s="27"/>
    </row>
    <row r="554" spans="4:4" x14ac:dyDescent="0.15">
      <c r="D554" s="27"/>
    </row>
    <row r="555" spans="4:4" x14ac:dyDescent="0.15">
      <c r="D555" s="27"/>
    </row>
    <row r="556" spans="4:4" x14ac:dyDescent="0.15">
      <c r="D556" s="27"/>
    </row>
    <row r="557" spans="4:4" x14ac:dyDescent="0.15">
      <c r="D557" s="27"/>
    </row>
    <row r="558" spans="4:4" x14ac:dyDescent="0.15">
      <c r="D558" s="27"/>
    </row>
    <row r="559" spans="4:4" x14ac:dyDescent="0.15">
      <c r="D559" s="27"/>
    </row>
    <row r="560" spans="4:4" x14ac:dyDescent="0.15">
      <c r="D560" s="27"/>
    </row>
    <row r="561" spans="4:4" x14ac:dyDescent="0.15">
      <c r="D561" s="27"/>
    </row>
    <row r="562" spans="4:4" x14ac:dyDescent="0.15">
      <c r="D562" s="27"/>
    </row>
    <row r="563" spans="4:4" x14ac:dyDescent="0.15">
      <c r="D563" s="27"/>
    </row>
    <row r="564" spans="4:4" x14ac:dyDescent="0.15">
      <c r="D564" s="27"/>
    </row>
    <row r="565" spans="4:4" x14ac:dyDescent="0.15">
      <c r="D565" s="27"/>
    </row>
    <row r="566" spans="4:4" x14ac:dyDescent="0.15">
      <c r="D566" s="27"/>
    </row>
    <row r="567" spans="4:4" x14ac:dyDescent="0.15">
      <c r="D567" s="27"/>
    </row>
    <row r="568" spans="4:4" x14ac:dyDescent="0.15">
      <c r="D568" s="27"/>
    </row>
    <row r="569" spans="4:4" x14ac:dyDescent="0.15">
      <c r="D569" s="27"/>
    </row>
    <row r="570" spans="4:4" x14ac:dyDescent="0.15">
      <c r="D570" s="27"/>
    </row>
    <row r="571" spans="4:4" x14ac:dyDescent="0.15">
      <c r="D571" s="27"/>
    </row>
    <row r="572" spans="4:4" x14ac:dyDescent="0.15">
      <c r="D572" s="27"/>
    </row>
    <row r="573" spans="4:4" x14ac:dyDescent="0.15">
      <c r="D573" s="27"/>
    </row>
    <row r="574" spans="4:4" x14ac:dyDescent="0.15">
      <c r="D574" s="27"/>
    </row>
    <row r="575" spans="4:4" x14ac:dyDescent="0.15">
      <c r="D575" s="27"/>
    </row>
    <row r="576" spans="4:4" x14ac:dyDescent="0.15">
      <c r="D576" s="27"/>
    </row>
    <row r="577" spans="4:4" x14ac:dyDescent="0.15">
      <c r="D577" s="27"/>
    </row>
    <row r="578" spans="4:4" x14ac:dyDescent="0.15">
      <c r="D578" s="27"/>
    </row>
    <row r="579" spans="4:4" x14ac:dyDescent="0.15">
      <c r="D579" s="27"/>
    </row>
    <row r="580" spans="4:4" x14ac:dyDescent="0.15">
      <c r="D580" s="27"/>
    </row>
    <row r="581" spans="4:4" x14ac:dyDescent="0.15">
      <c r="D581" s="27"/>
    </row>
    <row r="582" spans="4:4" x14ac:dyDescent="0.15">
      <c r="D582" s="27"/>
    </row>
    <row r="583" spans="4:4" x14ac:dyDescent="0.15">
      <c r="D583" s="27"/>
    </row>
    <row r="584" spans="4:4" x14ac:dyDescent="0.15">
      <c r="D584" s="27"/>
    </row>
    <row r="585" spans="4:4" x14ac:dyDescent="0.15">
      <c r="D585" s="27"/>
    </row>
    <row r="586" spans="4:4" x14ac:dyDescent="0.15">
      <c r="D586" s="27"/>
    </row>
    <row r="587" spans="4:4" x14ac:dyDescent="0.15">
      <c r="D587" s="27"/>
    </row>
    <row r="588" spans="4:4" x14ac:dyDescent="0.15">
      <c r="D588" s="27"/>
    </row>
    <row r="589" spans="4:4" x14ac:dyDescent="0.15">
      <c r="D589" s="27"/>
    </row>
    <row r="590" spans="4:4" x14ac:dyDescent="0.15">
      <c r="D590" s="27"/>
    </row>
    <row r="591" spans="4:4" x14ac:dyDescent="0.15">
      <c r="D591" s="27"/>
    </row>
    <row r="592" spans="4:4" x14ac:dyDescent="0.15">
      <c r="D592" s="27"/>
    </row>
    <row r="593" spans="4:4" x14ac:dyDescent="0.15">
      <c r="D593" s="27"/>
    </row>
    <row r="594" spans="4:4" x14ac:dyDescent="0.15">
      <c r="D594" s="27"/>
    </row>
    <row r="595" spans="4:4" x14ac:dyDescent="0.15">
      <c r="D595" s="27"/>
    </row>
    <row r="596" spans="4:4" x14ac:dyDescent="0.15">
      <c r="D596" s="27"/>
    </row>
    <row r="597" spans="4:4" x14ac:dyDescent="0.15">
      <c r="D597" s="27"/>
    </row>
    <row r="598" spans="4:4" x14ac:dyDescent="0.15">
      <c r="D598" s="27"/>
    </row>
    <row r="599" spans="4:4" x14ac:dyDescent="0.15">
      <c r="D599" s="27"/>
    </row>
    <row r="600" spans="4:4" x14ac:dyDescent="0.15">
      <c r="D600" s="27"/>
    </row>
    <row r="601" spans="4:4" x14ac:dyDescent="0.15">
      <c r="D601" s="27"/>
    </row>
    <row r="602" spans="4:4" x14ac:dyDescent="0.15">
      <c r="D602" s="27"/>
    </row>
    <row r="603" spans="4:4" x14ac:dyDescent="0.15">
      <c r="D603" s="27"/>
    </row>
    <row r="604" spans="4:4" x14ac:dyDescent="0.15">
      <c r="D604" s="27"/>
    </row>
    <row r="605" spans="4:4" x14ac:dyDescent="0.15">
      <c r="D605" s="27"/>
    </row>
    <row r="606" spans="4:4" x14ac:dyDescent="0.15">
      <c r="D606" s="27"/>
    </row>
    <row r="607" spans="4:4" x14ac:dyDescent="0.15">
      <c r="D607" s="27"/>
    </row>
    <row r="608" spans="4:4" x14ac:dyDescent="0.15">
      <c r="D608" s="27"/>
    </row>
    <row r="609" spans="4:4" x14ac:dyDescent="0.15">
      <c r="D609" s="27"/>
    </row>
    <row r="610" spans="4:4" x14ac:dyDescent="0.15">
      <c r="D610" s="27"/>
    </row>
    <row r="611" spans="4:4" x14ac:dyDescent="0.15">
      <c r="D611" s="27"/>
    </row>
    <row r="612" spans="4:4" x14ac:dyDescent="0.15">
      <c r="D612" s="27"/>
    </row>
    <row r="613" spans="4:4" x14ac:dyDescent="0.15">
      <c r="D613" s="27"/>
    </row>
    <row r="614" spans="4:4" x14ac:dyDescent="0.15">
      <c r="D614" s="27"/>
    </row>
    <row r="615" spans="4:4" x14ac:dyDescent="0.15">
      <c r="D615" s="27"/>
    </row>
    <row r="616" spans="4:4" x14ac:dyDescent="0.15">
      <c r="D616" s="27"/>
    </row>
    <row r="617" spans="4:4" x14ac:dyDescent="0.15">
      <c r="D617" s="27"/>
    </row>
    <row r="618" spans="4:4" x14ac:dyDescent="0.15">
      <c r="D618" s="27"/>
    </row>
    <row r="619" spans="4:4" x14ac:dyDescent="0.15">
      <c r="D619" s="27"/>
    </row>
    <row r="620" spans="4:4" x14ac:dyDescent="0.15">
      <c r="D620" s="27"/>
    </row>
    <row r="621" spans="4:4" x14ac:dyDescent="0.15">
      <c r="D621" s="27"/>
    </row>
    <row r="622" spans="4:4" x14ac:dyDescent="0.15">
      <c r="D622" s="27"/>
    </row>
    <row r="623" spans="4:4" x14ac:dyDescent="0.15">
      <c r="D623" s="27"/>
    </row>
    <row r="624" spans="4:4" x14ac:dyDescent="0.15">
      <c r="D624" s="27"/>
    </row>
    <row r="625" spans="4:4" x14ac:dyDescent="0.15">
      <c r="D625" s="27"/>
    </row>
    <row r="626" spans="4:4" x14ac:dyDescent="0.15">
      <c r="D626" s="27"/>
    </row>
    <row r="627" spans="4:4" x14ac:dyDescent="0.15">
      <c r="D627" s="27"/>
    </row>
    <row r="628" spans="4:4" x14ac:dyDescent="0.15">
      <c r="D628" s="27"/>
    </row>
    <row r="629" spans="4:4" x14ac:dyDescent="0.15">
      <c r="D629" s="27"/>
    </row>
    <row r="630" spans="4:4" x14ac:dyDescent="0.15">
      <c r="D630" s="27"/>
    </row>
    <row r="631" spans="4:4" x14ac:dyDescent="0.15">
      <c r="D631" s="27"/>
    </row>
    <row r="632" spans="4:4" x14ac:dyDescent="0.15">
      <c r="D632" s="27"/>
    </row>
    <row r="633" spans="4:4" x14ac:dyDescent="0.15">
      <c r="D633" s="27"/>
    </row>
    <row r="634" spans="4:4" x14ac:dyDescent="0.15">
      <c r="D634" s="27"/>
    </row>
    <row r="635" spans="4:4" x14ac:dyDescent="0.15">
      <c r="D635" s="27"/>
    </row>
    <row r="636" spans="4:4" x14ac:dyDescent="0.15">
      <c r="D636" s="27"/>
    </row>
    <row r="637" spans="4:4" x14ac:dyDescent="0.15">
      <c r="D637" s="27"/>
    </row>
    <row r="638" spans="4:4" x14ac:dyDescent="0.15">
      <c r="D638" s="27"/>
    </row>
    <row r="639" spans="4:4" x14ac:dyDescent="0.15">
      <c r="D639" s="27"/>
    </row>
    <row r="640" spans="4:4" x14ac:dyDescent="0.15">
      <c r="D640" s="27"/>
    </row>
    <row r="641" spans="4:4" x14ac:dyDescent="0.15">
      <c r="D641" s="27"/>
    </row>
    <row r="642" spans="4:4" x14ac:dyDescent="0.15">
      <c r="D642" s="27"/>
    </row>
    <row r="643" spans="4:4" x14ac:dyDescent="0.15">
      <c r="D643" s="27"/>
    </row>
    <row r="644" spans="4:4" x14ac:dyDescent="0.15">
      <c r="D644" s="27"/>
    </row>
    <row r="645" spans="4:4" x14ac:dyDescent="0.15">
      <c r="D645" s="27"/>
    </row>
    <row r="646" spans="4:4" x14ac:dyDescent="0.15">
      <c r="D646" s="27"/>
    </row>
    <row r="647" spans="4:4" x14ac:dyDescent="0.15">
      <c r="D647" s="27"/>
    </row>
    <row r="648" spans="4:4" x14ac:dyDescent="0.15">
      <c r="D648" s="27"/>
    </row>
    <row r="649" spans="4:4" x14ac:dyDescent="0.15">
      <c r="D649" s="27"/>
    </row>
    <row r="650" spans="4:4" x14ac:dyDescent="0.15">
      <c r="D650" s="27"/>
    </row>
    <row r="651" spans="4:4" x14ac:dyDescent="0.15">
      <c r="D651" s="27"/>
    </row>
    <row r="652" spans="4:4" x14ac:dyDescent="0.15">
      <c r="D652" s="27"/>
    </row>
    <row r="653" spans="4:4" x14ac:dyDescent="0.15">
      <c r="D653" s="27"/>
    </row>
    <row r="654" spans="4:4" x14ac:dyDescent="0.15">
      <c r="D654" s="27"/>
    </row>
    <row r="655" spans="4:4" x14ac:dyDescent="0.15">
      <c r="D655" s="27"/>
    </row>
    <row r="656" spans="4:4" x14ac:dyDescent="0.15">
      <c r="D656" s="27"/>
    </row>
    <row r="657" spans="4:4" x14ac:dyDescent="0.15">
      <c r="D657" s="27"/>
    </row>
    <row r="658" spans="4:4" x14ac:dyDescent="0.15">
      <c r="D658" s="27"/>
    </row>
    <row r="659" spans="4:4" x14ac:dyDescent="0.15">
      <c r="D659" s="27"/>
    </row>
    <row r="660" spans="4:4" x14ac:dyDescent="0.15">
      <c r="D660" s="27"/>
    </row>
    <row r="661" spans="4:4" x14ac:dyDescent="0.15">
      <c r="D661" s="27"/>
    </row>
    <row r="662" spans="4:4" x14ac:dyDescent="0.15">
      <c r="D662" s="27"/>
    </row>
    <row r="663" spans="4:4" x14ac:dyDescent="0.15">
      <c r="D663" s="27"/>
    </row>
    <row r="664" spans="4:4" x14ac:dyDescent="0.15">
      <c r="D664" s="27"/>
    </row>
    <row r="665" spans="4:4" x14ac:dyDescent="0.15">
      <c r="D665" s="27"/>
    </row>
    <row r="666" spans="4:4" x14ac:dyDescent="0.15">
      <c r="D666" s="27"/>
    </row>
    <row r="667" spans="4:4" x14ac:dyDescent="0.15">
      <c r="D667" s="27"/>
    </row>
    <row r="668" spans="4:4" x14ac:dyDescent="0.15">
      <c r="D668" s="27"/>
    </row>
    <row r="669" spans="4:4" x14ac:dyDescent="0.15">
      <c r="D669" s="27"/>
    </row>
    <row r="670" spans="4:4" x14ac:dyDescent="0.15">
      <c r="D670" s="27"/>
    </row>
    <row r="671" spans="4:4" x14ac:dyDescent="0.15">
      <c r="D671" s="27"/>
    </row>
    <row r="672" spans="4:4" x14ac:dyDescent="0.15">
      <c r="D672" s="27"/>
    </row>
    <row r="673" spans="4:4" x14ac:dyDescent="0.15">
      <c r="D673" s="27"/>
    </row>
    <row r="674" spans="4:4" x14ac:dyDescent="0.15">
      <c r="D674" s="27"/>
    </row>
    <row r="675" spans="4:4" x14ac:dyDescent="0.15">
      <c r="D675" s="27"/>
    </row>
    <row r="676" spans="4:4" x14ac:dyDescent="0.15">
      <c r="D676" s="27"/>
    </row>
    <row r="677" spans="4:4" x14ac:dyDescent="0.15">
      <c r="D677" s="27"/>
    </row>
    <row r="678" spans="4:4" x14ac:dyDescent="0.15">
      <c r="D678" s="27"/>
    </row>
    <row r="679" spans="4:4" x14ac:dyDescent="0.15">
      <c r="D679" s="27"/>
    </row>
    <row r="680" spans="4:4" x14ac:dyDescent="0.15">
      <c r="D680" s="27"/>
    </row>
    <row r="681" spans="4:4" x14ac:dyDescent="0.15">
      <c r="D681" s="27"/>
    </row>
    <row r="682" spans="4:4" x14ac:dyDescent="0.15">
      <c r="D682" s="27"/>
    </row>
    <row r="683" spans="4:4" x14ac:dyDescent="0.15">
      <c r="D683" s="27"/>
    </row>
    <row r="684" spans="4:4" x14ac:dyDescent="0.15">
      <c r="D684" s="27"/>
    </row>
    <row r="685" spans="4:4" x14ac:dyDescent="0.15">
      <c r="D685" s="27"/>
    </row>
    <row r="686" spans="4:4" x14ac:dyDescent="0.15">
      <c r="D686" s="27"/>
    </row>
    <row r="687" spans="4:4" x14ac:dyDescent="0.15">
      <c r="D687" s="27"/>
    </row>
    <row r="688" spans="4:4" x14ac:dyDescent="0.15">
      <c r="D688" s="27"/>
    </row>
    <row r="689" spans="4:4" x14ac:dyDescent="0.15">
      <c r="D689" s="27"/>
    </row>
    <row r="690" spans="4:4" x14ac:dyDescent="0.15">
      <c r="D690" s="27"/>
    </row>
    <row r="691" spans="4:4" x14ac:dyDescent="0.15">
      <c r="D691" s="27"/>
    </row>
    <row r="692" spans="4:4" x14ac:dyDescent="0.15">
      <c r="D692" s="27"/>
    </row>
    <row r="693" spans="4:4" x14ac:dyDescent="0.15">
      <c r="D693" s="27"/>
    </row>
    <row r="694" spans="4:4" x14ac:dyDescent="0.15">
      <c r="D694" s="27"/>
    </row>
    <row r="695" spans="4:4" x14ac:dyDescent="0.15">
      <c r="D695" s="27"/>
    </row>
    <row r="696" spans="4:4" x14ac:dyDescent="0.15">
      <c r="D696" s="27"/>
    </row>
    <row r="697" spans="4:4" x14ac:dyDescent="0.15">
      <c r="D697" s="27"/>
    </row>
    <row r="698" spans="4:4" x14ac:dyDescent="0.15">
      <c r="D698" s="27"/>
    </row>
    <row r="699" spans="4:4" x14ac:dyDescent="0.15">
      <c r="D699" s="27"/>
    </row>
    <row r="700" spans="4:4" x14ac:dyDescent="0.15">
      <c r="D700" s="27"/>
    </row>
    <row r="701" spans="4:4" x14ac:dyDescent="0.15">
      <c r="D701" s="27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58E90-C84E-BD4F-B733-3548CBE061E3}">
  <dimension ref="A1:J121"/>
  <sheetViews>
    <sheetView zoomScale="133" workbookViewId="0">
      <selection activeCell="D2" sqref="D2:D121"/>
    </sheetView>
  </sheetViews>
  <sheetFormatPr baseColWidth="10" defaultRowHeight="13" x14ac:dyDescent="0.15"/>
  <cols>
    <col min="1" max="1" width="11.83203125" bestFit="1" customWidth="1"/>
    <col min="4" max="4" width="51" bestFit="1" customWidth="1"/>
    <col min="5" max="5" width="62.5" bestFit="1" customWidth="1"/>
    <col min="6" max="6" width="11.83203125" bestFit="1" customWidth="1"/>
  </cols>
  <sheetData>
    <row r="1" spans="1:10" x14ac:dyDescent="0.15">
      <c r="A1" s="23" t="s">
        <v>4135</v>
      </c>
      <c r="B1" s="23" t="s">
        <v>4247</v>
      </c>
      <c r="C1" s="14" t="s">
        <v>4202</v>
      </c>
    </row>
    <row r="2" spans="1:10" x14ac:dyDescent="0.15">
      <c r="A2">
        <f t="shared" ref="A2:A33" si="0">INDEX($I$2:$I$51,INT(H2/6)+1)</f>
        <v>20229553</v>
      </c>
      <c r="B2" t="str">
        <f t="shared" ref="B2:B33" si="1">INDEX($J$2:$J$7,MOD(H2,6)+1)</f>
        <v>M-1</v>
      </c>
      <c r="C2">
        <v>90</v>
      </c>
      <c r="D2" t="str" cm="1">
        <f t="array" ref="D2">insertinto(A2:C2,$E$2:$F$4,"pr_Midterms_Results")</f>
        <v>insert into pr_Midterms_Results values ('20229553', 'M-1', 90);</v>
      </c>
      <c r="E2" s="14" t="s">
        <v>4135</v>
      </c>
      <c r="F2" s="14" t="s">
        <v>4231</v>
      </c>
      <c r="H2">
        <v>0</v>
      </c>
      <c r="I2">
        <f xml:space="preserve"> VLOOKUP(Students!C2,Students!C:I,1,0)</f>
        <v>20229553</v>
      </c>
      <c r="J2" t="str">
        <f xml:space="preserve"> VLOOKUP(Midterms!A2,Midterms!A:F,1,0)</f>
        <v>M-1</v>
      </c>
    </row>
    <row r="3" spans="1:10" x14ac:dyDescent="0.15">
      <c r="A3">
        <f t="shared" si="0"/>
        <v>20229553</v>
      </c>
      <c r="B3" t="str">
        <f t="shared" si="1"/>
        <v>M-2</v>
      </c>
      <c r="C3">
        <v>61</v>
      </c>
      <c r="D3" t="str" cm="1">
        <f t="array" ref="D3">insertinto(A3:C3,$E$2:$F$4,"pr_Midterms_Results")</f>
        <v>insert into pr_Midterms_Results values ('20229553', 'M-2', 61);</v>
      </c>
      <c r="E3" s="14" t="s">
        <v>4247</v>
      </c>
      <c r="F3" s="14" t="s">
        <v>4231</v>
      </c>
      <c r="H3">
        <v>1</v>
      </c>
      <c r="I3">
        <f xml:space="preserve"> VLOOKUP(Students!C3,Students!C:I,1,0)</f>
        <v>20221414</v>
      </c>
      <c r="J3" t="str">
        <f xml:space="preserve"> VLOOKUP(Midterms!A3,Midterms!A:F,1,0)</f>
        <v>M-2</v>
      </c>
    </row>
    <row r="4" spans="1:10" x14ac:dyDescent="0.15">
      <c r="A4">
        <f t="shared" si="0"/>
        <v>20229553</v>
      </c>
      <c r="B4" t="str">
        <f t="shared" si="1"/>
        <v>M-3</v>
      </c>
      <c r="C4">
        <v>88</v>
      </c>
      <c r="D4" t="str" cm="1">
        <f t="array" ref="D4">insertinto(A4:C4,$E$2:$F$4,"pr_Midterms_Results")</f>
        <v>insert into pr_Midterms_Results values ('20229553', 'M-3', 88);</v>
      </c>
      <c r="E4" s="14" t="s">
        <v>4202</v>
      </c>
      <c r="F4" s="14" t="s">
        <v>4232</v>
      </c>
      <c r="H4">
        <v>2</v>
      </c>
      <c r="I4">
        <f xml:space="preserve"> VLOOKUP(Students!C4,Students!C:I,1,0)</f>
        <v>20224306</v>
      </c>
      <c r="J4" t="str">
        <f xml:space="preserve"> VLOOKUP(Midterms!A4,Midterms!A:F,1,0)</f>
        <v>M-3</v>
      </c>
    </row>
    <row r="5" spans="1:10" x14ac:dyDescent="0.15">
      <c r="A5">
        <f t="shared" si="0"/>
        <v>20229553</v>
      </c>
      <c r="B5" t="str">
        <f t="shared" si="1"/>
        <v>M-4</v>
      </c>
      <c r="C5">
        <v>59</v>
      </c>
      <c r="D5" t="str" cm="1">
        <f t="array" ref="D5">insertinto(A5:C5,$E$2:$F$4,"pr_Midterms_Results")</f>
        <v>insert into pr_Midterms_Results values ('20229553', 'M-4', 59);</v>
      </c>
      <c r="H5">
        <v>3</v>
      </c>
      <c r="I5">
        <f xml:space="preserve"> VLOOKUP(Students!C5,Students!C:I,1,0)</f>
        <v>20220731</v>
      </c>
      <c r="J5" t="str">
        <f xml:space="preserve"> VLOOKUP(Midterms!A5,Midterms!A:F,1,0)</f>
        <v>M-4</v>
      </c>
    </row>
    <row r="6" spans="1:10" x14ac:dyDescent="0.15">
      <c r="A6">
        <f t="shared" si="0"/>
        <v>20229553</v>
      </c>
      <c r="B6" t="str">
        <f t="shared" si="1"/>
        <v>M-5</v>
      </c>
      <c r="C6">
        <v>98</v>
      </c>
      <c r="D6" t="str" cm="1">
        <f t="array" ref="D6">insertinto(A6:C6,$E$2:$F$4,"pr_Midterms_Results")</f>
        <v>insert into pr_Midterms_Results values ('20229553', 'M-5', 98);</v>
      </c>
      <c r="H6">
        <v>4</v>
      </c>
      <c r="I6">
        <f xml:space="preserve"> VLOOKUP(Students!C6,Students!C:I,1,0)</f>
        <v>20227092</v>
      </c>
      <c r="J6" t="str">
        <f xml:space="preserve"> VLOOKUP(Midterms!A6,Midterms!A:F,1,0)</f>
        <v>M-5</v>
      </c>
    </row>
    <row r="7" spans="1:10" x14ac:dyDescent="0.15">
      <c r="A7">
        <f t="shared" si="0"/>
        <v>20229553</v>
      </c>
      <c r="B7" t="str">
        <f t="shared" si="1"/>
        <v>M-6</v>
      </c>
      <c r="C7">
        <v>86</v>
      </c>
      <c r="D7" t="str" cm="1">
        <f t="array" ref="D7">insertinto(A7:C7,$E$2:$F$4,"pr_Midterms_Results")</f>
        <v>insert into pr_Midterms_Results values ('20229553', 'M-6', 86);</v>
      </c>
      <c r="H7">
        <v>5</v>
      </c>
      <c r="I7">
        <f xml:space="preserve"> VLOOKUP(Students!C7,Students!C:I,1,0)</f>
        <v>20226184</v>
      </c>
      <c r="J7" t="str">
        <f xml:space="preserve"> VLOOKUP(Midterms!A7,Midterms!A:F,1,0)</f>
        <v>M-6</v>
      </c>
    </row>
    <row r="8" spans="1:10" x14ac:dyDescent="0.15">
      <c r="A8">
        <f t="shared" si="0"/>
        <v>20221414</v>
      </c>
      <c r="B8" t="str">
        <f t="shared" si="1"/>
        <v>M-1</v>
      </c>
      <c r="C8">
        <v>90</v>
      </c>
      <c r="D8" t="str" cm="1">
        <f t="array" ref="D8">insertinto(A8:C8,$E$2:$F$4,"pr_Midterms_Results")</f>
        <v>insert into pr_Midterms_Results values ('20221414', 'M-1', 90);</v>
      </c>
      <c r="H8">
        <v>6</v>
      </c>
      <c r="I8">
        <f xml:space="preserve"> VLOOKUP(Students!C8,Students!C:I,1,0)</f>
        <v>20229558</v>
      </c>
    </row>
    <row r="9" spans="1:10" x14ac:dyDescent="0.15">
      <c r="A9">
        <f t="shared" si="0"/>
        <v>20221414</v>
      </c>
      <c r="B9" t="str">
        <f t="shared" si="1"/>
        <v>M-2</v>
      </c>
      <c r="C9">
        <v>87</v>
      </c>
      <c r="D9" t="str" cm="1">
        <f t="array" ref="D9">insertinto(A9:C9,$E$2:$F$4,"pr_Midterms_Results")</f>
        <v>insert into pr_Midterms_Results values ('20221414', 'M-2', 87);</v>
      </c>
      <c r="H9">
        <v>7</v>
      </c>
      <c r="I9">
        <f xml:space="preserve"> VLOOKUP(Students!C9,Students!C:I,1,0)</f>
        <v>20228839</v>
      </c>
    </row>
    <row r="10" spans="1:10" x14ac:dyDescent="0.15">
      <c r="A10">
        <f t="shared" si="0"/>
        <v>20221414</v>
      </c>
      <c r="B10" t="str">
        <f t="shared" si="1"/>
        <v>M-3</v>
      </c>
      <c r="C10">
        <v>92</v>
      </c>
      <c r="D10" t="str" cm="1">
        <f t="array" ref="D10">insertinto(A10:C10,$E$2:$F$4,"pr_Midterms_Results")</f>
        <v>insert into pr_Midterms_Results values ('20221414', 'M-3', 92);</v>
      </c>
      <c r="H10">
        <v>8</v>
      </c>
      <c r="I10">
        <f xml:space="preserve"> VLOOKUP(Students!C10,Students!C:I,1,0)</f>
        <v>20227541</v>
      </c>
    </row>
    <row r="11" spans="1:10" x14ac:dyDescent="0.15">
      <c r="A11">
        <f t="shared" si="0"/>
        <v>20221414</v>
      </c>
      <c r="B11" t="str">
        <f t="shared" si="1"/>
        <v>M-4</v>
      </c>
      <c r="C11">
        <v>91</v>
      </c>
      <c r="D11" t="str" cm="1">
        <f t="array" ref="D11">insertinto(A11:C11,$E$2:$F$4,"pr_Midterms_Results")</f>
        <v>insert into pr_Midterms_Results values ('20221414', 'M-4', 91);</v>
      </c>
      <c r="H11">
        <v>9</v>
      </c>
      <c r="I11">
        <f xml:space="preserve"> VLOOKUP(Students!C11,Students!C:I,1,0)</f>
        <v>20227466</v>
      </c>
    </row>
    <row r="12" spans="1:10" x14ac:dyDescent="0.15">
      <c r="A12">
        <f t="shared" si="0"/>
        <v>20221414</v>
      </c>
      <c r="B12" t="str">
        <f t="shared" si="1"/>
        <v>M-5</v>
      </c>
      <c r="C12">
        <v>71</v>
      </c>
      <c r="D12" t="str" cm="1">
        <f t="array" ref="D12">insertinto(A12:C12,$E$2:$F$4,"pr_Midterms_Results")</f>
        <v>insert into pr_Midterms_Results values ('20221414', 'M-5', 71);</v>
      </c>
      <c r="H12">
        <v>10</v>
      </c>
      <c r="I12">
        <f xml:space="preserve"> VLOOKUP(Students!C12,Students!C:I,1,0)</f>
        <v>20226221</v>
      </c>
    </row>
    <row r="13" spans="1:10" x14ac:dyDescent="0.15">
      <c r="A13">
        <f t="shared" si="0"/>
        <v>20221414</v>
      </c>
      <c r="B13" t="str">
        <f t="shared" si="1"/>
        <v>M-6</v>
      </c>
      <c r="C13">
        <v>96</v>
      </c>
      <c r="D13" t="str" cm="1">
        <f t="array" ref="D13">insertinto(A13:C13,$E$2:$F$4,"pr_Midterms_Results")</f>
        <v>insert into pr_Midterms_Results values ('20221414', 'M-6', 96);</v>
      </c>
      <c r="H13">
        <v>11</v>
      </c>
      <c r="I13">
        <f xml:space="preserve"> VLOOKUP(Students!C13,Students!C:I,1,0)</f>
        <v>20224946</v>
      </c>
    </row>
    <row r="14" spans="1:10" x14ac:dyDescent="0.15">
      <c r="A14">
        <f t="shared" si="0"/>
        <v>20224306</v>
      </c>
      <c r="B14" t="str">
        <f t="shared" si="1"/>
        <v>M-1</v>
      </c>
      <c r="C14">
        <v>91</v>
      </c>
      <c r="D14" t="str" cm="1">
        <f t="array" ref="D14">insertinto(A14:C14,$E$2:$F$4,"pr_Midterms_Results")</f>
        <v>insert into pr_Midterms_Results values ('20224306', 'M-1', 91);</v>
      </c>
      <c r="H14">
        <v>12</v>
      </c>
      <c r="I14">
        <f xml:space="preserve"> VLOOKUP(Students!C14,Students!C:I,1,0)</f>
        <v>20227782</v>
      </c>
    </row>
    <row r="15" spans="1:10" x14ac:dyDescent="0.15">
      <c r="A15">
        <f t="shared" si="0"/>
        <v>20224306</v>
      </c>
      <c r="B15" t="str">
        <f t="shared" si="1"/>
        <v>M-2</v>
      </c>
      <c r="C15">
        <v>83</v>
      </c>
      <c r="D15" t="str" cm="1">
        <f t="array" ref="D15">insertinto(A15:C15,$E$2:$F$4,"pr_Midterms_Results")</f>
        <v>insert into pr_Midterms_Results values ('20224306', 'M-2', 83);</v>
      </c>
      <c r="H15">
        <v>13</v>
      </c>
      <c r="I15">
        <f xml:space="preserve"> VLOOKUP(Students!C15,Students!C:I,1,0)</f>
        <v>20227177</v>
      </c>
    </row>
    <row r="16" spans="1:10" x14ac:dyDescent="0.15">
      <c r="A16">
        <f t="shared" si="0"/>
        <v>20224306</v>
      </c>
      <c r="B16" t="str">
        <f t="shared" si="1"/>
        <v>M-3</v>
      </c>
      <c r="C16">
        <v>84</v>
      </c>
      <c r="D16" t="str" cm="1">
        <f t="array" ref="D16">insertinto(A16:C16,$E$2:$F$4,"pr_Midterms_Results")</f>
        <v>insert into pr_Midterms_Results values ('20224306', 'M-3', 84);</v>
      </c>
      <c r="H16">
        <v>14</v>
      </c>
      <c r="I16">
        <f xml:space="preserve"> VLOOKUP(Students!C16,Students!C:I,1,0)</f>
        <v>20221564</v>
      </c>
    </row>
    <row r="17" spans="1:9" x14ac:dyDescent="0.15">
      <c r="A17">
        <f t="shared" si="0"/>
        <v>20224306</v>
      </c>
      <c r="B17" t="str">
        <f t="shared" si="1"/>
        <v>M-4</v>
      </c>
      <c r="C17">
        <v>85</v>
      </c>
      <c r="D17" t="str" cm="1">
        <f t="array" ref="D17">insertinto(A17:C17,$E$2:$F$4,"pr_Midterms_Results")</f>
        <v>insert into pr_Midterms_Results values ('20224306', 'M-4', 85);</v>
      </c>
      <c r="H17">
        <v>15</v>
      </c>
      <c r="I17">
        <f xml:space="preserve"> VLOOKUP(Students!C17,Students!C:I,1,0)</f>
        <v>20224484</v>
      </c>
    </row>
    <row r="18" spans="1:9" x14ac:dyDescent="0.15">
      <c r="A18">
        <f t="shared" si="0"/>
        <v>20224306</v>
      </c>
      <c r="B18" t="str">
        <f t="shared" si="1"/>
        <v>M-5</v>
      </c>
      <c r="C18">
        <v>97</v>
      </c>
      <c r="D18" t="str" cm="1">
        <f t="array" ref="D18">insertinto(A18:C18,$E$2:$F$4,"pr_Midterms_Results")</f>
        <v>insert into pr_Midterms_Results values ('20224306', 'M-5', 97);</v>
      </c>
      <c r="H18">
        <v>16</v>
      </c>
      <c r="I18">
        <f xml:space="preserve"> VLOOKUP(Students!C18,Students!C:I,1,0)</f>
        <v>20226724</v>
      </c>
    </row>
    <row r="19" spans="1:9" x14ac:dyDescent="0.15">
      <c r="A19">
        <f t="shared" si="0"/>
        <v>20224306</v>
      </c>
      <c r="B19" t="str">
        <f t="shared" si="1"/>
        <v>M-6</v>
      </c>
      <c r="C19">
        <v>92</v>
      </c>
      <c r="D19" t="str" cm="1">
        <f t="array" ref="D19">insertinto(A19:C19,$E$2:$F$4,"pr_Midterms_Results")</f>
        <v>insert into pr_Midterms_Results values ('20224306', 'M-6', 92);</v>
      </c>
      <c r="H19">
        <v>17</v>
      </c>
      <c r="I19">
        <f xml:space="preserve"> VLOOKUP(Students!C19,Students!C:I,1,0)</f>
        <v>20225519</v>
      </c>
    </row>
    <row r="20" spans="1:9" x14ac:dyDescent="0.15">
      <c r="A20">
        <f t="shared" si="0"/>
        <v>20220731</v>
      </c>
      <c r="B20" t="str">
        <f t="shared" si="1"/>
        <v>M-1</v>
      </c>
      <c r="C20">
        <v>79</v>
      </c>
      <c r="D20" t="str" cm="1">
        <f t="array" ref="D20">insertinto(A20:C20,$E$2:$F$4,"pr_Midterms_Results")</f>
        <v>insert into pr_Midterms_Results values ('20220731', 'M-1', 79);</v>
      </c>
      <c r="H20">
        <v>18</v>
      </c>
      <c r="I20">
        <f xml:space="preserve"> VLOOKUP(Students!C20,Students!C:I,1,0)</f>
        <v>20227388</v>
      </c>
    </row>
    <row r="21" spans="1:9" x14ac:dyDescent="0.15">
      <c r="A21">
        <f t="shared" si="0"/>
        <v>20220731</v>
      </c>
      <c r="B21" t="str">
        <f t="shared" si="1"/>
        <v>M-2</v>
      </c>
      <c r="C21">
        <v>84</v>
      </c>
      <c r="D21" t="str" cm="1">
        <f t="array" ref="D21">insertinto(A21:C21,$E$2:$F$4,"pr_Midterms_Results")</f>
        <v>insert into pr_Midterms_Results values ('20220731', 'M-2', 84);</v>
      </c>
      <c r="H21">
        <v>19</v>
      </c>
      <c r="I21">
        <f xml:space="preserve"> VLOOKUP(Students!C21,Students!C:I,1,0)</f>
        <v>20223671</v>
      </c>
    </row>
    <row r="22" spans="1:9" x14ac:dyDescent="0.15">
      <c r="A22">
        <f t="shared" si="0"/>
        <v>20220731</v>
      </c>
      <c r="B22" t="str">
        <f t="shared" si="1"/>
        <v>M-3</v>
      </c>
      <c r="C22">
        <v>93</v>
      </c>
      <c r="D22" t="str" cm="1">
        <f t="array" ref="D22">insertinto(A22:C22,$E$2:$F$4,"pr_Midterms_Results")</f>
        <v>insert into pr_Midterms_Results values ('20220731', 'M-3', 93);</v>
      </c>
      <c r="H22">
        <v>20</v>
      </c>
    </row>
    <row r="23" spans="1:9" x14ac:dyDescent="0.15">
      <c r="A23">
        <f t="shared" si="0"/>
        <v>20220731</v>
      </c>
      <c r="B23" t="str">
        <f t="shared" si="1"/>
        <v>M-4</v>
      </c>
      <c r="C23">
        <v>71</v>
      </c>
      <c r="D23" t="str" cm="1">
        <f t="array" ref="D23">insertinto(A23:C23,$E$2:$F$4,"pr_Midterms_Results")</f>
        <v>insert into pr_Midterms_Results values ('20220731', 'M-4', 71);</v>
      </c>
      <c r="H23">
        <v>21</v>
      </c>
    </row>
    <row r="24" spans="1:9" x14ac:dyDescent="0.15">
      <c r="A24">
        <f t="shared" si="0"/>
        <v>20220731</v>
      </c>
      <c r="B24" t="str">
        <f t="shared" si="1"/>
        <v>M-5</v>
      </c>
      <c r="C24">
        <v>65</v>
      </c>
      <c r="D24" t="str" cm="1">
        <f t="array" ref="D24">insertinto(A24:C24,$E$2:$F$4,"pr_Midterms_Results")</f>
        <v>insert into pr_Midterms_Results values ('20220731', 'M-5', 65);</v>
      </c>
      <c r="H24">
        <v>22</v>
      </c>
    </row>
    <row r="25" spans="1:9" x14ac:dyDescent="0.15">
      <c r="A25">
        <f t="shared" si="0"/>
        <v>20220731</v>
      </c>
      <c r="B25" t="str">
        <f t="shared" si="1"/>
        <v>M-6</v>
      </c>
      <c r="C25">
        <v>99</v>
      </c>
      <c r="D25" t="str" cm="1">
        <f t="array" ref="D25">insertinto(A25:C25,$E$2:$F$4,"pr_Midterms_Results")</f>
        <v>insert into pr_Midterms_Results values ('20220731', 'M-6', 99);</v>
      </c>
      <c r="H25">
        <v>23</v>
      </c>
    </row>
    <row r="26" spans="1:9" x14ac:dyDescent="0.15">
      <c r="A26">
        <f t="shared" si="0"/>
        <v>20227092</v>
      </c>
      <c r="B26" t="str">
        <f t="shared" si="1"/>
        <v>M-1</v>
      </c>
      <c r="C26">
        <v>100</v>
      </c>
      <c r="D26" t="str" cm="1">
        <f t="array" ref="D26">insertinto(A26:C26,$E$2:$F$4,"pr_Midterms_Results")</f>
        <v>insert into pr_Midterms_Results values ('20227092', 'M-1', 100);</v>
      </c>
      <c r="H26">
        <v>24</v>
      </c>
    </row>
    <row r="27" spans="1:9" x14ac:dyDescent="0.15">
      <c r="A27">
        <f t="shared" si="0"/>
        <v>20227092</v>
      </c>
      <c r="B27" t="str">
        <f t="shared" si="1"/>
        <v>M-2</v>
      </c>
      <c r="C27">
        <v>66</v>
      </c>
      <c r="D27" t="str" cm="1">
        <f t="array" ref="D27">insertinto(A27:C27,$E$2:$F$4,"pr_Midterms_Results")</f>
        <v>insert into pr_Midterms_Results values ('20227092', 'M-2', 66);</v>
      </c>
      <c r="H27">
        <v>25</v>
      </c>
    </row>
    <row r="28" spans="1:9" x14ac:dyDescent="0.15">
      <c r="A28">
        <f t="shared" si="0"/>
        <v>20227092</v>
      </c>
      <c r="B28" t="str">
        <f t="shared" si="1"/>
        <v>M-3</v>
      </c>
      <c r="C28">
        <v>69</v>
      </c>
      <c r="D28" t="str" cm="1">
        <f t="array" ref="D28">insertinto(A28:C28,$E$2:$F$4,"pr_Midterms_Results")</f>
        <v>insert into pr_Midterms_Results values ('20227092', 'M-3', 69);</v>
      </c>
      <c r="H28">
        <v>26</v>
      </c>
    </row>
    <row r="29" spans="1:9" x14ac:dyDescent="0.15">
      <c r="A29">
        <f t="shared" si="0"/>
        <v>20227092</v>
      </c>
      <c r="B29" t="str">
        <f t="shared" si="1"/>
        <v>M-4</v>
      </c>
      <c r="C29">
        <v>87</v>
      </c>
      <c r="D29" t="str" cm="1">
        <f t="array" ref="D29">insertinto(A29:C29,$E$2:$F$4,"pr_Midterms_Results")</f>
        <v>insert into pr_Midterms_Results values ('20227092', 'M-4', 87);</v>
      </c>
      <c r="H29">
        <v>27</v>
      </c>
    </row>
    <row r="30" spans="1:9" x14ac:dyDescent="0.15">
      <c r="A30">
        <f t="shared" si="0"/>
        <v>20227092</v>
      </c>
      <c r="B30" t="str">
        <f t="shared" si="1"/>
        <v>M-5</v>
      </c>
      <c r="C30">
        <v>100</v>
      </c>
      <c r="D30" t="str" cm="1">
        <f t="array" ref="D30">insertinto(A30:C30,$E$2:$F$4,"pr_Midterms_Results")</f>
        <v>insert into pr_Midterms_Results values ('20227092', 'M-5', 100);</v>
      </c>
      <c r="H30">
        <v>28</v>
      </c>
    </row>
    <row r="31" spans="1:9" x14ac:dyDescent="0.15">
      <c r="A31">
        <f t="shared" si="0"/>
        <v>20227092</v>
      </c>
      <c r="B31" t="str">
        <f t="shared" si="1"/>
        <v>M-6</v>
      </c>
      <c r="C31">
        <v>91</v>
      </c>
      <c r="D31" t="str" cm="1">
        <f t="array" ref="D31">insertinto(A31:C31,$E$2:$F$4,"pr_Midterms_Results")</f>
        <v>insert into pr_Midterms_Results values ('20227092', 'M-6', 91);</v>
      </c>
      <c r="H31">
        <v>29</v>
      </c>
    </row>
    <row r="32" spans="1:9" x14ac:dyDescent="0.15">
      <c r="A32">
        <f t="shared" si="0"/>
        <v>20226184</v>
      </c>
      <c r="B32" t="str">
        <f t="shared" si="1"/>
        <v>M-1</v>
      </c>
      <c r="C32">
        <v>74</v>
      </c>
      <c r="D32" t="str" cm="1">
        <f t="array" ref="D32">insertinto(A32:C32,$E$2:$F$4,"pr_Midterms_Results")</f>
        <v>insert into pr_Midterms_Results values ('20226184', 'M-1', 74);</v>
      </c>
      <c r="H32">
        <v>30</v>
      </c>
    </row>
    <row r="33" spans="1:8" x14ac:dyDescent="0.15">
      <c r="A33">
        <f t="shared" si="0"/>
        <v>20226184</v>
      </c>
      <c r="B33" t="str">
        <f t="shared" si="1"/>
        <v>M-2</v>
      </c>
      <c r="C33">
        <v>61</v>
      </c>
      <c r="D33" t="str" cm="1">
        <f t="array" ref="D33">insertinto(A33:C33,$E$2:$F$4,"pr_Midterms_Results")</f>
        <v>insert into pr_Midterms_Results values ('20226184', 'M-2', 61);</v>
      </c>
      <c r="H33">
        <v>31</v>
      </c>
    </row>
    <row r="34" spans="1:8" x14ac:dyDescent="0.15">
      <c r="A34">
        <f t="shared" ref="A34:A65" si="2">INDEX($I$2:$I$51,INT(H34/6)+1)</f>
        <v>20226184</v>
      </c>
      <c r="B34" t="str">
        <f t="shared" ref="B34:B65" si="3">INDEX($J$2:$J$7,MOD(H34,6)+1)</f>
        <v>M-3</v>
      </c>
      <c r="C34">
        <v>72</v>
      </c>
      <c r="D34" t="str" cm="1">
        <f t="array" ref="D34">insertinto(A34:C34,$E$2:$F$4,"pr_Midterms_Results")</f>
        <v>insert into pr_Midterms_Results values ('20226184', 'M-3', 72);</v>
      </c>
      <c r="H34">
        <v>32</v>
      </c>
    </row>
    <row r="35" spans="1:8" x14ac:dyDescent="0.15">
      <c r="A35">
        <f t="shared" si="2"/>
        <v>20226184</v>
      </c>
      <c r="B35" t="str">
        <f t="shared" si="3"/>
        <v>M-4</v>
      </c>
      <c r="C35">
        <v>55</v>
      </c>
      <c r="D35" t="str" cm="1">
        <f t="array" ref="D35">insertinto(A35:C35,$E$2:$F$4,"pr_Midterms_Results")</f>
        <v>insert into pr_Midterms_Results values ('20226184', 'M-4', 55);</v>
      </c>
      <c r="H35">
        <v>33</v>
      </c>
    </row>
    <row r="36" spans="1:8" x14ac:dyDescent="0.15">
      <c r="A36">
        <f t="shared" si="2"/>
        <v>20226184</v>
      </c>
      <c r="B36" t="str">
        <f t="shared" si="3"/>
        <v>M-5</v>
      </c>
      <c r="C36">
        <v>55</v>
      </c>
      <c r="D36" t="str" cm="1">
        <f t="array" ref="D36">insertinto(A36:C36,$E$2:$F$4,"pr_Midterms_Results")</f>
        <v>insert into pr_Midterms_Results values ('20226184', 'M-5', 55);</v>
      </c>
      <c r="H36">
        <v>34</v>
      </c>
    </row>
    <row r="37" spans="1:8" x14ac:dyDescent="0.15">
      <c r="A37">
        <f t="shared" si="2"/>
        <v>20226184</v>
      </c>
      <c r="B37" t="str">
        <f t="shared" si="3"/>
        <v>M-6</v>
      </c>
      <c r="C37">
        <v>75</v>
      </c>
      <c r="D37" t="str" cm="1">
        <f t="array" ref="D37">insertinto(A37:C37,$E$2:$F$4,"pr_Midterms_Results")</f>
        <v>insert into pr_Midterms_Results values ('20226184', 'M-6', 75);</v>
      </c>
      <c r="H37">
        <v>35</v>
      </c>
    </row>
    <row r="38" spans="1:8" x14ac:dyDescent="0.15">
      <c r="A38">
        <f t="shared" si="2"/>
        <v>20229558</v>
      </c>
      <c r="B38" t="str">
        <f t="shared" si="3"/>
        <v>M-1</v>
      </c>
      <c r="C38">
        <v>55</v>
      </c>
      <c r="D38" t="str" cm="1">
        <f t="array" ref="D38">insertinto(A38:C38,$E$2:$F$4,"pr_Midterms_Results")</f>
        <v>insert into pr_Midterms_Results values ('20229558', 'M-1', 55);</v>
      </c>
      <c r="H38">
        <v>36</v>
      </c>
    </row>
    <row r="39" spans="1:8" x14ac:dyDescent="0.15">
      <c r="A39">
        <f t="shared" si="2"/>
        <v>20229558</v>
      </c>
      <c r="B39" t="str">
        <f t="shared" si="3"/>
        <v>M-2</v>
      </c>
      <c r="C39">
        <v>70</v>
      </c>
      <c r="D39" t="str" cm="1">
        <f t="array" ref="D39">insertinto(A39:C39,$E$2:$F$4,"pr_Midterms_Results")</f>
        <v>insert into pr_Midterms_Results values ('20229558', 'M-2', 70);</v>
      </c>
      <c r="H39">
        <v>37</v>
      </c>
    </row>
    <row r="40" spans="1:8" x14ac:dyDescent="0.15">
      <c r="A40">
        <f t="shared" si="2"/>
        <v>20229558</v>
      </c>
      <c r="B40" t="str">
        <f t="shared" si="3"/>
        <v>M-3</v>
      </c>
      <c r="C40">
        <v>71</v>
      </c>
      <c r="D40" t="str" cm="1">
        <f t="array" ref="D40">insertinto(A40:C40,$E$2:$F$4,"pr_Midterms_Results")</f>
        <v>insert into pr_Midterms_Results values ('20229558', 'M-3', 71);</v>
      </c>
      <c r="H40">
        <v>38</v>
      </c>
    </row>
    <row r="41" spans="1:8" x14ac:dyDescent="0.15">
      <c r="A41">
        <f t="shared" si="2"/>
        <v>20229558</v>
      </c>
      <c r="B41" t="str">
        <f t="shared" si="3"/>
        <v>M-4</v>
      </c>
      <c r="C41">
        <v>70</v>
      </c>
      <c r="D41" t="str" cm="1">
        <f t="array" ref="D41">insertinto(A41:C41,$E$2:$F$4,"pr_Midterms_Results")</f>
        <v>insert into pr_Midterms_Results values ('20229558', 'M-4', 70);</v>
      </c>
      <c r="H41">
        <v>39</v>
      </c>
    </row>
    <row r="42" spans="1:8" x14ac:dyDescent="0.15">
      <c r="A42">
        <f t="shared" si="2"/>
        <v>20229558</v>
      </c>
      <c r="B42" t="str">
        <f t="shared" si="3"/>
        <v>M-5</v>
      </c>
      <c r="C42">
        <v>56</v>
      </c>
      <c r="D42" t="str" cm="1">
        <f t="array" ref="D42">insertinto(A42:C42,$E$2:$F$4,"pr_Midterms_Results")</f>
        <v>insert into pr_Midterms_Results values ('20229558', 'M-5', 56);</v>
      </c>
      <c r="H42">
        <v>40</v>
      </c>
    </row>
    <row r="43" spans="1:8" x14ac:dyDescent="0.15">
      <c r="A43">
        <f t="shared" si="2"/>
        <v>20229558</v>
      </c>
      <c r="B43" t="str">
        <f t="shared" si="3"/>
        <v>M-6</v>
      </c>
      <c r="C43">
        <v>58</v>
      </c>
      <c r="D43" t="str" cm="1">
        <f t="array" ref="D43">insertinto(A43:C43,$E$2:$F$4,"pr_Midterms_Results")</f>
        <v>insert into pr_Midterms_Results values ('20229558', 'M-6', 58);</v>
      </c>
      <c r="H43">
        <v>41</v>
      </c>
    </row>
    <row r="44" spans="1:8" x14ac:dyDescent="0.15">
      <c r="A44">
        <f t="shared" si="2"/>
        <v>20228839</v>
      </c>
      <c r="B44" t="str">
        <f t="shared" si="3"/>
        <v>M-1</v>
      </c>
      <c r="C44">
        <v>76</v>
      </c>
      <c r="D44" t="str" cm="1">
        <f t="array" ref="D44">insertinto(A44:C44,$E$2:$F$4,"pr_Midterms_Results")</f>
        <v>insert into pr_Midterms_Results values ('20228839', 'M-1', 76);</v>
      </c>
      <c r="H44">
        <v>42</v>
      </c>
    </row>
    <row r="45" spans="1:8" x14ac:dyDescent="0.15">
      <c r="A45">
        <f t="shared" si="2"/>
        <v>20228839</v>
      </c>
      <c r="B45" t="str">
        <f t="shared" si="3"/>
        <v>M-2</v>
      </c>
      <c r="C45">
        <v>61</v>
      </c>
      <c r="D45" t="str" cm="1">
        <f t="array" ref="D45">insertinto(A45:C45,$E$2:$F$4,"pr_Midterms_Results")</f>
        <v>insert into pr_Midterms_Results values ('20228839', 'M-2', 61);</v>
      </c>
      <c r="H45">
        <v>43</v>
      </c>
    </row>
    <row r="46" spans="1:8" x14ac:dyDescent="0.15">
      <c r="A46">
        <f t="shared" si="2"/>
        <v>20228839</v>
      </c>
      <c r="B46" t="str">
        <f t="shared" si="3"/>
        <v>M-3</v>
      </c>
      <c r="C46">
        <v>74</v>
      </c>
      <c r="D46" t="str" cm="1">
        <f t="array" ref="D46">insertinto(A46:C46,$E$2:$F$4,"pr_Midterms_Results")</f>
        <v>insert into pr_Midterms_Results values ('20228839', 'M-3', 74);</v>
      </c>
      <c r="H46">
        <v>44</v>
      </c>
    </row>
    <row r="47" spans="1:8" x14ac:dyDescent="0.15">
      <c r="A47">
        <f t="shared" si="2"/>
        <v>20228839</v>
      </c>
      <c r="B47" t="str">
        <f t="shared" si="3"/>
        <v>M-4</v>
      </c>
      <c r="C47">
        <v>58</v>
      </c>
      <c r="D47" t="str" cm="1">
        <f t="array" ref="D47">insertinto(A47:C47,$E$2:$F$4,"pr_Midterms_Results")</f>
        <v>insert into pr_Midterms_Results values ('20228839', 'M-4', 58);</v>
      </c>
      <c r="H47">
        <v>45</v>
      </c>
    </row>
    <row r="48" spans="1:8" x14ac:dyDescent="0.15">
      <c r="A48">
        <f t="shared" si="2"/>
        <v>20228839</v>
      </c>
      <c r="B48" t="str">
        <f t="shared" si="3"/>
        <v>M-5</v>
      </c>
      <c r="C48">
        <v>58</v>
      </c>
      <c r="D48" t="str" cm="1">
        <f t="array" ref="D48">insertinto(A48:C48,$E$2:$F$4,"pr_Midterms_Results")</f>
        <v>insert into pr_Midterms_Results values ('20228839', 'M-5', 58);</v>
      </c>
      <c r="H48">
        <v>46</v>
      </c>
    </row>
    <row r="49" spans="1:8" x14ac:dyDescent="0.15">
      <c r="A49">
        <f t="shared" si="2"/>
        <v>20228839</v>
      </c>
      <c r="B49" t="str">
        <f t="shared" si="3"/>
        <v>M-6</v>
      </c>
      <c r="C49">
        <v>62</v>
      </c>
      <c r="D49" t="str" cm="1">
        <f t="array" ref="D49">insertinto(A49:C49,$E$2:$F$4,"pr_Midterms_Results")</f>
        <v>insert into pr_Midterms_Results values ('20228839', 'M-6', 62);</v>
      </c>
      <c r="H49">
        <v>47</v>
      </c>
    </row>
    <row r="50" spans="1:8" x14ac:dyDescent="0.15">
      <c r="A50">
        <f t="shared" si="2"/>
        <v>20227541</v>
      </c>
      <c r="B50" t="str">
        <f t="shared" si="3"/>
        <v>M-1</v>
      </c>
      <c r="C50">
        <v>76</v>
      </c>
      <c r="D50" t="str" cm="1">
        <f t="array" ref="D50">insertinto(A50:C50,$E$2:$F$4,"pr_Midterms_Results")</f>
        <v>insert into pr_Midterms_Results values ('20227541', 'M-1', 76);</v>
      </c>
      <c r="H50">
        <v>48</v>
      </c>
    </row>
    <row r="51" spans="1:8" x14ac:dyDescent="0.15">
      <c r="A51">
        <f t="shared" si="2"/>
        <v>20227541</v>
      </c>
      <c r="B51" t="str">
        <f t="shared" si="3"/>
        <v>M-2</v>
      </c>
      <c r="C51">
        <v>74</v>
      </c>
      <c r="D51" t="str" cm="1">
        <f t="array" ref="D51">insertinto(A51:C51,$E$2:$F$4,"pr_Midterms_Results")</f>
        <v>insert into pr_Midterms_Results values ('20227541', 'M-2', 74);</v>
      </c>
      <c r="H51">
        <v>49</v>
      </c>
    </row>
    <row r="52" spans="1:8" x14ac:dyDescent="0.15">
      <c r="A52">
        <f t="shared" si="2"/>
        <v>20227541</v>
      </c>
      <c r="B52" t="str">
        <f t="shared" si="3"/>
        <v>M-3</v>
      </c>
      <c r="C52">
        <v>68</v>
      </c>
      <c r="D52" t="str" cm="1">
        <f t="array" ref="D52">insertinto(A52:C52,$E$2:$F$4,"pr_Midterms_Results")</f>
        <v>insert into pr_Midterms_Results values ('20227541', 'M-3', 68);</v>
      </c>
      <c r="H52">
        <v>50</v>
      </c>
    </row>
    <row r="53" spans="1:8" x14ac:dyDescent="0.15">
      <c r="A53">
        <f t="shared" si="2"/>
        <v>20227541</v>
      </c>
      <c r="B53" t="str">
        <f t="shared" si="3"/>
        <v>M-4</v>
      </c>
      <c r="C53">
        <v>55</v>
      </c>
      <c r="D53" t="str" cm="1">
        <f t="array" ref="D53">insertinto(A53:C53,$E$2:$F$4,"pr_Midterms_Results")</f>
        <v>insert into pr_Midterms_Results values ('20227541', 'M-4', 55);</v>
      </c>
      <c r="H53">
        <v>51</v>
      </c>
    </row>
    <row r="54" spans="1:8" x14ac:dyDescent="0.15">
      <c r="A54">
        <f t="shared" si="2"/>
        <v>20227541</v>
      </c>
      <c r="B54" t="str">
        <f t="shared" si="3"/>
        <v>M-5</v>
      </c>
      <c r="C54">
        <v>64</v>
      </c>
      <c r="D54" t="str" cm="1">
        <f t="array" ref="D54">insertinto(A54:C54,$E$2:$F$4,"pr_Midterms_Results")</f>
        <v>insert into pr_Midterms_Results values ('20227541', 'M-5', 64);</v>
      </c>
      <c r="H54">
        <v>52</v>
      </c>
    </row>
    <row r="55" spans="1:8" x14ac:dyDescent="0.15">
      <c r="A55">
        <f t="shared" si="2"/>
        <v>20227541</v>
      </c>
      <c r="B55" t="str">
        <f t="shared" si="3"/>
        <v>M-6</v>
      </c>
      <c r="C55">
        <v>55</v>
      </c>
      <c r="D55" t="str" cm="1">
        <f t="array" ref="D55">insertinto(A55:C55,$E$2:$F$4,"pr_Midterms_Results")</f>
        <v>insert into pr_Midterms_Results values ('20227541', 'M-6', 55);</v>
      </c>
      <c r="H55">
        <v>53</v>
      </c>
    </row>
    <row r="56" spans="1:8" x14ac:dyDescent="0.15">
      <c r="A56">
        <f t="shared" si="2"/>
        <v>20227466</v>
      </c>
      <c r="B56" t="str">
        <f t="shared" si="3"/>
        <v>M-1</v>
      </c>
      <c r="C56">
        <v>62</v>
      </c>
      <c r="D56" t="str" cm="1">
        <f t="array" ref="D56">insertinto(A56:C56,$E$2:$F$4,"pr_Midterms_Results")</f>
        <v>insert into pr_Midterms_Results values ('20227466', 'M-1', 62);</v>
      </c>
      <c r="H56">
        <v>54</v>
      </c>
    </row>
    <row r="57" spans="1:8" x14ac:dyDescent="0.15">
      <c r="A57">
        <f t="shared" si="2"/>
        <v>20227466</v>
      </c>
      <c r="B57" t="str">
        <f t="shared" si="3"/>
        <v>M-2</v>
      </c>
      <c r="C57">
        <v>59</v>
      </c>
      <c r="D57" t="str" cm="1">
        <f t="array" ref="D57">insertinto(A57:C57,$E$2:$F$4,"pr_Midterms_Results")</f>
        <v>insert into pr_Midterms_Results values ('20227466', 'M-2', 59);</v>
      </c>
      <c r="H57">
        <v>55</v>
      </c>
    </row>
    <row r="58" spans="1:8" x14ac:dyDescent="0.15">
      <c r="A58">
        <f t="shared" si="2"/>
        <v>20227466</v>
      </c>
      <c r="B58" t="str">
        <f t="shared" si="3"/>
        <v>M-3</v>
      </c>
      <c r="C58">
        <v>66</v>
      </c>
      <c r="D58" t="str" cm="1">
        <f t="array" ref="D58">insertinto(A58:C58,$E$2:$F$4,"pr_Midterms_Results")</f>
        <v>insert into pr_Midterms_Results values ('20227466', 'M-3', 66);</v>
      </c>
      <c r="H58">
        <v>56</v>
      </c>
    </row>
    <row r="59" spans="1:8" x14ac:dyDescent="0.15">
      <c r="A59">
        <f t="shared" si="2"/>
        <v>20227466</v>
      </c>
      <c r="B59" t="str">
        <f t="shared" si="3"/>
        <v>M-4</v>
      </c>
      <c r="C59">
        <v>70</v>
      </c>
      <c r="D59" t="str" cm="1">
        <f t="array" ref="D59">insertinto(A59:C59,$E$2:$F$4,"pr_Midterms_Results")</f>
        <v>insert into pr_Midterms_Results values ('20227466', 'M-4', 70);</v>
      </c>
      <c r="H59">
        <v>57</v>
      </c>
    </row>
    <row r="60" spans="1:8" x14ac:dyDescent="0.15">
      <c r="A60">
        <f t="shared" si="2"/>
        <v>20227466</v>
      </c>
      <c r="B60" t="str">
        <f t="shared" si="3"/>
        <v>M-5</v>
      </c>
      <c r="C60">
        <v>60</v>
      </c>
      <c r="D60" t="str" cm="1">
        <f t="array" ref="D60">insertinto(A60:C60,$E$2:$F$4,"pr_Midterms_Results")</f>
        <v>insert into pr_Midterms_Results values ('20227466', 'M-5', 60);</v>
      </c>
      <c r="H60">
        <v>58</v>
      </c>
    </row>
    <row r="61" spans="1:8" x14ac:dyDescent="0.15">
      <c r="A61">
        <f t="shared" si="2"/>
        <v>20227466</v>
      </c>
      <c r="B61" t="str">
        <f t="shared" si="3"/>
        <v>M-6</v>
      </c>
      <c r="C61">
        <v>66</v>
      </c>
      <c r="D61" t="str" cm="1">
        <f t="array" ref="D61">insertinto(A61:C61,$E$2:$F$4,"pr_Midterms_Results")</f>
        <v>insert into pr_Midterms_Results values ('20227466', 'M-6', 66);</v>
      </c>
      <c r="H61">
        <v>59</v>
      </c>
    </row>
    <row r="62" spans="1:8" x14ac:dyDescent="0.15">
      <c r="A62">
        <f t="shared" si="2"/>
        <v>20226221</v>
      </c>
      <c r="B62" t="str">
        <f t="shared" si="3"/>
        <v>M-1</v>
      </c>
      <c r="C62">
        <v>67</v>
      </c>
      <c r="D62" t="str" cm="1">
        <f t="array" ref="D62">insertinto(A62:C62,$E$2:$F$4,"pr_Midterms_Results")</f>
        <v>insert into pr_Midterms_Results values ('20226221', 'M-1', 67);</v>
      </c>
      <c r="H62">
        <v>60</v>
      </c>
    </row>
    <row r="63" spans="1:8" x14ac:dyDescent="0.15">
      <c r="A63">
        <f t="shared" si="2"/>
        <v>20226221</v>
      </c>
      <c r="B63" t="str">
        <f t="shared" si="3"/>
        <v>M-2</v>
      </c>
      <c r="C63">
        <v>58</v>
      </c>
      <c r="D63" t="str" cm="1">
        <f t="array" ref="D63">insertinto(A63:C63,$E$2:$F$4,"pr_Midterms_Results")</f>
        <v>insert into pr_Midterms_Results values ('20226221', 'M-2', 58);</v>
      </c>
      <c r="H63">
        <v>61</v>
      </c>
    </row>
    <row r="64" spans="1:8" x14ac:dyDescent="0.15">
      <c r="A64">
        <f t="shared" si="2"/>
        <v>20226221</v>
      </c>
      <c r="B64" t="str">
        <f t="shared" si="3"/>
        <v>M-3</v>
      </c>
      <c r="C64">
        <v>62</v>
      </c>
      <c r="D64" t="str" cm="1">
        <f t="array" ref="D64">insertinto(A64:C64,$E$2:$F$4,"pr_Midterms_Results")</f>
        <v>insert into pr_Midterms_Results values ('20226221', 'M-3', 62);</v>
      </c>
      <c r="H64">
        <v>62</v>
      </c>
    </row>
    <row r="65" spans="1:8" x14ac:dyDescent="0.15">
      <c r="A65">
        <f t="shared" si="2"/>
        <v>20226221</v>
      </c>
      <c r="B65" t="str">
        <f t="shared" si="3"/>
        <v>M-4</v>
      </c>
      <c r="C65">
        <v>73</v>
      </c>
      <c r="D65" t="str" cm="1">
        <f t="array" ref="D65">insertinto(A65:C65,$E$2:$F$4,"pr_Midterms_Results")</f>
        <v>insert into pr_Midterms_Results values ('20226221', 'M-4', 73);</v>
      </c>
      <c r="H65">
        <v>63</v>
      </c>
    </row>
    <row r="66" spans="1:8" x14ac:dyDescent="0.15">
      <c r="A66">
        <f t="shared" ref="A66:A97" si="4">INDEX($I$2:$I$51,INT(H66/6)+1)</f>
        <v>20226221</v>
      </c>
      <c r="B66" t="str">
        <f t="shared" ref="B66:B97" si="5">INDEX($J$2:$J$7,MOD(H66,6)+1)</f>
        <v>M-5</v>
      </c>
      <c r="C66">
        <v>66</v>
      </c>
      <c r="D66" t="str" cm="1">
        <f t="array" ref="D66">insertinto(A66:C66,$E$2:$F$4,"pr_Midterms_Results")</f>
        <v>insert into pr_Midterms_Results values ('20226221', 'M-5', 66);</v>
      </c>
      <c r="H66">
        <v>64</v>
      </c>
    </row>
    <row r="67" spans="1:8" x14ac:dyDescent="0.15">
      <c r="A67">
        <f t="shared" si="4"/>
        <v>20226221</v>
      </c>
      <c r="B67" t="str">
        <f t="shared" si="5"/>
        <v>M-6</v>
      </c>
      <c r="C67">
        <v>66</v>
      </c>
      <c r="D67" t="str" cm="1">
        <f t="array" ref="D67">insertinto(A67:C67,$E$2:$F$4,"pr_Midterms_Results")</f>
        <v>insert into pr_Midterms_Results values ('20226221', 'M-6', 66);</v>
      </c>
      <c r="H67">
        <v>65</v>
      </c>
    </row>
    <row r="68" spans="1:8" x14ac:dyDescent="0.15">
      <c r="A68">
        <f t="shared" si="4"/>
        <v>20224946</v>
      </c>
      <c r="B68" t="str">
        <f t="shared" si="5"/>
        <v>M-1</v>
      </c>
      <c r="C68">
        <v>74</v>
      </c>
      <c r="D68" t="str" cm="1">
        <f t="array" ref="D68">insertinto(A68:C68,$E$2:$F$4,"pr_Midterms_Results")</f>
        <v>insert into pr_Midterms_Results values ('20224946', 'M-1', 74);</v>
      </c>
      <c r="H68">
        <v>66</v>
      </c>
    </row>
    <row r="69" spans="1:8" x14ac:dyDescent="0.15">
      <c r="A69">
        <f t="shared" si="4"/>
        <v>20224946</v>
      </c>
      <c r="B69" t="str">
        <f t="shared" si="5"/>
        <v>M-2</v>
      </c>
      <c r="C69">
        <v>55</v>
      </c>
      <c r="D69" t="str" cm="1">
        <f t="array" ref="D69">insertinto(A69:C69,$E$2:$F$4,"pr_Midterms_Results")</f>
        <v>insert into pr_Midterms_Results values ('20224946', 'M-2', 55);</v>
      </c>
      <c r="H69">
        <v>67</v>
      </c>
    </row>
    <row r="70" spans="1:8" x14ac:dyDescent="0.15">
      <c r="A70">
        <f t="shared" si="4"/>
        <v>20224946</v>
      </c>
      <c r="B70" t="str">
        <f t="shared" si="5"/>
        <v>M-3</v>
      </c>
      <c r="C70">
        <v>75</v>
      </c>
      <c r="D70" t="str" cm="1">
        <f t="array" ref="D70">insertinto(A70:C70,$E$2:$F$4,"pr_Midterms_Results")</f>
        <v>insert into pr_Midterms_Results values ('20224946', 'M-3', 75);</v>
      </c>
      <c r="H70">
        <v>68</v>
      </c>
    </row>
    <row r="71" spans="1:8" x14ac:dyDescent="0.15">
      <c r="A71">
        <f t="shared" si="4"/>
        <v>20224946</v>
      </c>
      <c r="B71" t="str">
        <f t="shared" si="5"/>
        <v>M-4</v>
      </c>
      <c r="C71">
        <v>57</v>
      </c>
      <c r="D71" t="str" cm="1">
        <f t="array" ref="D71">insertinto(A71:C71,$E$2:$F$4,"pr_Midterms_Results")</f>
        <v>insert into pr_Midterms_Results values ('20224946', 'M-4', 57);</v>
      </c>
      <c r="H71">
        <v>69</v>
      </c>
    </row>
    <row r="72" spans="1:8" x14ac:dyDescent="0.15">
      <c r="A72">
        <f t="shared" si="4"/>
        <v>20224946</v>
      </c>
      <c r="B72" t="str">
        <f t="shared" si="5"/>
        <v>M-5</v>
      </c>
      <c r="C72">
        <v>67</v>
      </c>
      <c r="D72" t="str" cm="1">
        <f t="array" ref="D72">insertinto(A72:C72,$E$2:$F$4,"pr_Midterms_Results")</f>
        <v>insert into pr_Midterms_Results values ('20224946', 'M-5', 67);</v>
      </c>
      <c r="H72">
        <v>70</v>
      </c>
    </row>
    <row r="73" spans="1:8" x14ac:dyDescent="0.15">
      <c r="A73">
        <f t="shared" si="4"/>
        <v>20224946</v>
      </c>
      <c r="B73" t="str">
        <f t="shared" si="5"/>
        <v>M-6</v>
      </c>
      <c r="C73">
        <v>66</v>
      </c>
      <c r="D73" t="str" cm="1">
        <f t="array" ref="D73">insertinto(A73:C73,$E$2:$F$4,"pr_Midterms_Results")</f>
        <v>insert into pr_Midterms_Results values ('20224946', 'M-6', 66);</v>
      </c>
      <c r="H73">
        <v>71</v>
      </c>
    </row>
    <row r="74" spans="1:8" x14ac:dyDescent="0.15">
      <c r="A74">
        <f t="shared" si="4"/>
        <v>20227782</v>
      </c>
      <c r="B74" t="str">
        <f t="shared" si="5"/>
        <v>M-1</v>
      </c>
      <c r="C74">
        <v>73</v>
      </c>
      <c r="D74" t="str" cm="1">
        <f t="array" ref="D74">insertinto(A74:C74,$E$2:$F$4,"pr_Midterms_Results")</f>
        <v>insert into pr_Midterms_Results values ('20227782', 'M-1', 73);</v>
      </c>
      <c r="H74">
        <v>72</v>
      </c>
    </row>
    <row r="75" spans="1:8" x14ac:dyDescent="0.15">
      <c r="A75">
        <f t="shared" si="4"/>
        <v>20227782</v>
      </c>
      <c r="B75" t="str">
        <f t="shared" si="5"/>
        <v>M-2</v>
      </c>
      <c r="C75">
        <v>72</v>
      </c>
      <c r="D75" t="str" cm="1">
        <f t="array" ref="D75">insertinto(A75:C75,$E$2:$F$4,"pr_Midterms_Results")</f>
        <v>insert into pr_Midterms_Results values ('20227782', 'M-2', 72);</v>
      </c>
      <c r="H75">
        <v>73</v>
      </c>
    </row>
    <row r="76" spans="1:8" x14ac:dyDescent="0.15">
      <c r="A76">
        <f t="shared" si="4"/>
        <v>20227782</v>
      </c>
      <c r="B76" t="str">
        <f t="shared" si="5"/>
        <v>M-3</v>
      </c>
      <c r="C76">
        <v>56</v>
      </c>
      <c r="D76" t="str" cm="1">
        <f t="array" ref="D76">insertinto(A76:C76,$E$2:$F$4,"pr_Midterms_Results")</f>
        <v>insert into pr_Midterms_Results values ('20227782', 'M-3', 56);</v>
      </c>
      <c r="H76">
        <v>74</v>
      </c>
    </row>
    <row r="77" spans="1:8" x14ac:dyDescent="0.15">
      <c r="A77">
        <f t="shared" si="4"/>
        <v>20227782</v>
      </c>
      <c r="B77" t="str">
        <f t="shared" si="5"/>
        <v>M-4</v>
      </c>
      <c r="C77">
        <v>76</v>
      </c>
      <c r="D77" t="str" cm="1">
        <f t="array" ref="D77">insertinto(A77:C77,$E$2:$F$4,"pr_Midterms_Results")</f>
        <v>insert into pr_Midterms_Results values ('20227782', 'M-4', 76);</v>
      </c>
      <c r="H77">
        <v>75</v>
      </c>
    </row>
    <row r="78" spans="1:8" x14ac:dyDescent="0.15">
      <c r="A78">
        <f t="shared" si="4"/>
        <v>20227782</v>
      </c>
      <c r="B78" t="str">
        <f t="shared" si="5"/>
        <v>M-5</v>
      </c>
      <c r="C78">
        <v>76</v>
      </c>
      <c r="D78" t="str" cm="1">
        <f t="array" ref="D78">insertinto(A78:C78,$E$2:$F$4,"pr_Midterms_Results")</f>
        <v>insert into pr_Midterms_Results values ('20227782', 'M-5', 76);</v>
      </c>
      <c r="H78">
        <v>76</v>
      </c>
    </row>
    <row r="79" spans="1:8" x14ac:dyDescent="0.15">
      <c r="A79">
        <f t="shared" si="4"/>
        <v>20227782</v>
      </c>
      <c r="B79" t="str">
        <f t="shared" si="5"/>
        <v>M-6</v>
      </c>
      <c r="C79">
        <v>57</v>
      </c>
      <c r="D79" t="str" cm="1">
        <f t="array" ref="D79">insertinto(A79:C79,$E$2:$F$4,"pr_Midterms_Results")</f>
        <v>insert into pr_Midterms_Results values ('20227782', 'M-6', 57);</v>
      </c>
      <c r="H79">
        <v>77</v>
      </c>
    </row>
    <row r="80" spans="1:8" x14ac:dyDescent="0.15">
      <c r="A80">
        <f t="shared" si="4"/>
        <v>20227177</v>
      </c>
      <c r="B80" t="str">
        <f t="shared" si="5"/>
        <v>M-1</v>
      </c>
      <c r="C80">
        <v>61</v>
      </c>
      <c r="D80" t="str" cm="1">
        <f t="array" ref="D80">insertinto(A80:C80,$E$2:$F$4,"pr_Midterms_Results")</f>
        <v>insert into pr_Midterms_Results values ('20227177', 'M-1', 61);</v>
      </c>
      <c r="H80">
        <v>78</v>
      </c>
    </row>
    <row r="81" spans="1:8" x14ac:dyDescent="0.15">
      <c r="A81">
        <f t="shared" si="4"/>
        <v>20227177</v>
      </c>
      <c r="B81" t="str">
        <f t="shared" si="5"/>
        <v>M-2</v>
      </c>
      <c r="C81">
        <v>58</v>
      </c>
      <c r="D81" t="str" cm="1">
        <f t="array" ref="D81">insertinto(A81:C81,$E$2:$F$4,"pr_Midterms_Results")</f>
        <v>insert into pr_Midterms_Results values ('20227177', 'M-2', 58);</v>
      </c>
      <c r="H81">
        <v>79</v>
      </c>
    </row>
    <row r="82" spans="1:8" x14ac:dyDescent="0.15">
      <c r="A82">
        <f t="shared" si="4"/>
        <v>20227177</v>
      </c>
      <c r="B82" t="str">
        <f t="shared" si="5"/>
        <v>M-3</v>
      </c>
      <c r="C82">
        <v>67</v>
      </c>
      <c r="D82" t="str" cm="1">
        <f t="array" ref="D82">insertinto(A82:C82,$E$2:$F$4,"pr_Midterms_Results")</f>
        <v>insert into pr_Midterms_Results values ('20227177', 'M-3', 67);</v>
      </c>
      <c r="H82">
        <v>80</v>
      </c>
    </row>
    <row r="83" spans="1:8" x14ac:dyDescent="0.15">
      <c r="A83">
        <f t="shared" si="4"/>
        <v>20227177</v>
      </c>
      <c r="B83" t="str">
        <f t="shared" si="5"/>
        <v>M-4</v>
      </c>
      <c r="C83">
        <v>63</v>
      </c>
      <c r="D83" t="str" cm="1">
        <f t="array" ref="D83">insertinto(A83:C83,$E$2:$F$4,"pr_Midterms_Results")</f>
        <v>insert into pr_Midterms_Results values ('20227177', 'M-4', 63);</v>
      </c>
      <c r="H83">
        <v>81</v>
      </c>
    </row>
    <row r="84" spans="1:8" x14ac:dyDescent="0.15">
      <c r="A84">
        <f t="shared" si="4"/>
        <v>20227177</v>
      </c>
      <c r="B84" t="str">
        <f t="shared" si="5"/>
        <v>M-5</v>
      </c>
      <c r="C84">
        <v>69</v>
      </c>
      <c r="D84" t="str" cm="1">
        <f t="array" ref="D84">insertinto(A84:C84,$E$2:$F$4,"pr_Midterms_Results")</f>
        <v>insert into pr_Midterms_Results values ('20227177', 'M-5', 69);</v>
      </c>
      <c r="H84">
        <v>82</v>
      </c>
    </row>
    <row r="85" spans="1:8" x14ac:dyDescent="0.15">
      <c r="A85">
        <f t="shared" si="4"/>
        <v>20227177</v>
      </c>
      <c r="B85" t="str">
        <f t="shared" si="5"/>
        <v>M-6</v>
      </c>
      <c r="C85">
        <v>63</v>
      </c>
      <c r="D85" t="str" cm="1">
        <f t="array" ref="D85">insertinto(A85:C85,$E$2:$F$4,"pr_Midterms_Results")</f>
        <v>insert into pr_Midterms_Results values ('20227177', 'M-6', 63);</v>
      </c>
      <c r="H85">
        <v>83</v>
      </c>
    </row>
    <row r="86" spans="1:8" x14ac:dyDescent="0.15">
      <c r="A86">
        <f t="shared" si="4"/>
        <v>20221564</v>
      </c>
      <c r="B86" t="str">
        <f t="shared" si="5"/>
        <v>M-1</v>
      </c>
      <c r="C86">
        <v>69</v>
      </c>
      <c r="D86" t="str" cm="1">
        <f t="array" ref="D86">insertinto(A86:C86,$E$2:$F$4,"pr_Midterms_Results")</f>
        <v>insert into pr_Midterms_Results values ('20221564', 'M-1', 69);</v>
      </c>
      <c r="H86">
        <v>84</v>
      </c>
    </row>
    <row r="87" spans="1:8" x14ac:dyDescent="0.15">
      <c r="A87">
        <f t="shared" si="4"/>
        <v>20221564</v>
      </c>
      <c r="B87" t="str">
        <f t="shared" si="5"/>
        <v>M-2</v>
      </c>
      <c r="C87">
        <v>64</v>
      </c>
      <c r="D87" t="str" cm="1">
        <f t="array" ref="D87">insertinto(A87:C87,$E$2:$F$4,"pr_Midterms_Results")</f>
        <v>insert into pr_Midterms_Results values ('20221564', 'M-2', 64);</v>
      </c>
      <c r="H87">
        <v>85</v>
      </c>
    </row>
    <row r="88" spans="1:8" x14ac:dyDescent="0.15">
      <c r="A88">
        <f t="shared" si="4"/>
        <v>20221564</v>
      </c>
      <c r="B88" t="str">
        <f t="shared" si="5"/>
        <v>M-3</v>
      </c>
      <c r="C88">
        <v>58</v>
      </c>
      <c r="D88" t="str" cm="1">
        <f t="array" ref="D88">insertinto(A88:C88,$E$2:$F$4,"pr_Midterms_Results")</f>
        <v>insert into pr_Midterms_Results values ('20221564', 'M-3', 58);</v>
      </c>
      <c r="H88">
        <v>86</v>
      </c>
    </row>
    <row r="89" spans="1:8" x14ac:dyDescent="0.15">
      <c r="A89">
        <f t="shared" si="4"/>
        <v>20221564</v>
      </c>
      <c r="B89" t="str">
        <f t="shared" si="5"/>
        <v>M-4</v>
      </c>
      <c r="C89">
        <v>68</v>
      </c>
      <c r="D89" t="str" cm="1">
        <f t="array" ref="D89">insertinto(A89:C89,$E$2:$F$4,"pr_Midterms_Results")</f>
        <v>insert into pr_Midterms_Results values ('20221564', 'M-4', 68);</v>
      </c>
      <c r="H89">
        <v>87</v>
      </c>
    </row>
    <row r="90" spans="1:8" x14ac:dyDescent="0.15">
      <c r="A90">
        <f t="shared" si="4"/>
        <v>20221564</v>
      </c>
      <c r="B90" t="str">
        <f t="shared" si="5"/>
        <v>M-5</v>
      </c>
      <c r="C90">
        <v>63</v>
      </c>
      <c r="D90" t="str" cm="1">
        <f t="array" ref="D90">insertinto(A90:C90,$E$2:$F$4,"pr_Midterms_Results")</f>
        <v>insert into pr_Midterms_Results values ('20221564', 'M-5', 63);</v>
      </c>
      <c r="H90">
        <v>88</v>
      </c>
    </row>
    <row r="91" spans="1:8" x14ac:dyDescent="0.15">
      <c r="A91">
        <f t="shared" si="4"/>
        <v>20221564</v>
      </c>
      <c r="B91" t="str">
        <f t="shared" si="5"/>
        <v>M-6</v>
      </c>
      <c r="C91">
        <v>69</v>
      </c>
      <c r="D91" t="str" cm="1">
        <f t="array" ref="D91">insertinto(A91:C91,$E$2:$F$4,"pr_Midterms_Results")</f>
        <v>insert into pr_Midterms_Results values ('20221564', 'M-6', 69);</v>
      </c>
      <c r="H91">
        <v>89</v>
      </c>
    </row>
    <row r="92" spans="1:8" x14ac:dyDescent="0.15">
      <c r="A92">
        <f t="shared" si="4"/>
        <v>20224484</v>
      </c>
      <c r="B92" t="str">
        <f t="shared" si="5"/>
        <v>M-1</v>
      </c>
      <c r="C92">
        <v>52</v>
      </c>
      <c r="D92" t="str" cm="1">
        <f t="array" ref="D92">insertinto(A92:C92,$E$2:$F$4,"pr_Midterms_Results")</f>
        <v>insert into pr_Midterms_Results values ('20224484', 'M-1', 52);</v>
      </c>
      <c r="H92">
        <v>90</v>
      </c>
    </row>
    <row r="93" spans="1:8" x14ac:dyDescent="0.15">
      <c r="A93">
        <f t="shared" si="4"/>
        <v>20224484</v>
      </c>
      <c r="B93" t="str">
        <f t="shared" si="5"/>
        <v>M-2</v>
      </c>
      <c r="C93">
        <v>54</v>
      </c>
      <c r="D93" t="str" cm="1">
        <f t="array" ref="D93">insertinto(A93:C93,$E$2:$F$4,"pr_Midterms_Results")</f>
        <v>insert into pr_Midterms_Results values ('20224484', 'M-2', 54);</v>
      </c>
      <c r="H93">
        <v>91</v>
      </c>
    </row>
    <row r="94" spans="1:8" x14ac:dyDescent="0.15">
      <c r="A94">
        <f t="shared" si="4"/>
        <v>20224484</v>
      </c>
      <c r="B94" t="str">
        <f t="shared" si="5"/>
        <v>M-3</v>
      </c>
      <c r="C94">
        <v>4</v>
      </c>
      <c r="D94" t="str" cm="1">
        <f t="array" ref="D94">insertinto(A94:C94,$E$2:$F$4,"pr_Midterms_Results")</f>
        <v>insert into pr_Midterms_Results values ('20224484', 'M-3', 4);</v>
      </c>
      <c r="H94">
        <v>92</v>
      </c>
    </row>
    <row r="95" spans="1:8" x14ac:dyDescent="0.15">
      <c r="A95">
        <f t="shared" si="4"/>
        <v>20224484</v>
      </c>
      <c r="B95" t="str">
        <f t="shared" si="5"/>
        <v>M-4</v>
      </c>
      <c r="C95">
        <v>1</v>
      </c>
      <c r="D95" t="str" cm="1">
        <f t="array" ref="D95">insertinto(A95:C95,$E$2:$F$4,"pr_Midterms_Results")</f>
        <v>insert into pr_Midterms_Results values ('20224484', 'M-4', 1);</v>
      </c>
      <c r="H95">
        <v>93</v>
      </c>
    </row>
    <row r="96" spans="1:8" x14ac:dyDescent="0.15">
      <c r="A96">
        <f t="shared" si="4"/>
        <v>20224484</v>
      </c>
      <c r="B96" t="str">
        <f t="shared" si="5"/>
        <v>M-5</v>
      </c>
      <c r="C96">
        <v>28</v>
      </c>
      <c r="D96" t="str" cm="1">
        <f t="array" ref="D96">insertinto(A96:C96,$E$2:$F$4,"pr_Midterms_Results")</f>
        <v>insert into pr_Midterms_Results values ('20224484', 'M-5', 28);</v>
      </c>
      <c r="H96">
        <v>94</v>
      </c>
    </row>
    <row r="97" spans="1:8" x14ac:dyDescent="0.15">
      <c r="A97">
        <f t="shared" si="4"/>
        <v>20224484</v>
      </c>
      <c r="B97" t="str">
        <f t="shared" si="5"/>
        <v>M-6</v>
      </c>
      <c r="C97">
        <v>11</v>
      </c>
      <c r="D97" t="str" cm="1">
        <f t="array" ref="D97">insertinto(A97:C97,$E$2:$F$4,"pr_Midterms_Results")</f>
        <v>insert into pr_Midterms_Results values ('20224484', 'M-6', 11);</v>
      </c>
      <c r="H97">
        <v>95</v>
      </c>
    </row>
    <row r="98" spans="1:8" x14ac:dyDescent="0.15">
      <c r="A98">
        <f t="shared" ref="A98:A121" si="6">INDEX($I$2:$I$51,INT(H98/6)+1)</f>
        <v>20226724</v>
      </c>
      <c r="B98" t="str">
        <f t="shared" ref="B98:B121" si="7">INDEX($J$2:$J$7,MOD(H98,6)+1)</f>
        <v>M-1</v>
      </c>
      <c r="C98">
        <v>15</v>
      </c>
      <c r="D98" t="str" cm="1">
        <f t="array" ref="D98">insertinto(A98:C98,$E$2:$F$4,"pr_Midterms_Results")</f>
        <v>insert into pr_Midterms_Results values ('20226724', 'M-1', 15);</v>
      </c>
      <c r="H98">
        <v>96</v>
      </c>
    </row>
    <row r="99" spans="1:8" x14ac:dyDescent="0.15">
      <c r="A99">
        <f t="shared" si="6"/>
        <v>20226724</v>
      </c>
      <c r="B99" t="str">
        <f t="shared" si="7"/>
        <v>M-2</v>
      </c>
      <c r="C99">
        <v>29</v>
      </c>
      <c r="D99" t="str" cm="1">
        <f t="array" ref="D99">insertinto(A99:C99,$E$2:$F$4,"pr_Midterms_Results")</f>
        <v>insert into pr_Midterms_Results values ('20226724', 'M-2', 29);</v>
      </c>
      <c r="H99">
        <v>97</v>
      </c>
    </row>
    <row r="100" spans="1:8" x14ac:dyDescent="0.15">
      <c r="A100">
        <f t="shared" si="6"/>
        <v>20226724</v>
      </c>
      <c r="B100" t="str">
        <f t="shared" si="7"/>
        <v>M-3</v>
      </c>
      <c r="C100">
        <v>2</v>
      </c>
      <c r="D100" t="str" cm="1">
        <f t="array" ref="D100">insertinto(A100:C100,$E$2:$F$4,"pr_Midterms_Results")</f>
        <v>insert into pr_Midterms_Results values ('20226724', 'M-3', 2);</v>
      </c>
      <c r="H100">
        <v>98</v>
      </c>
    </row>
    <row r="101" spans="1:8" x14ac:dyDescent="0.15">
      <c r="A101">
        <f t="shared" si="6"/>
        <v>20226724</v>
      </c>
      <c r="B101" t="str">
        <f t="shared" si="7"/>
        <v>M-4</v>
      </c>
      <c r="C101">
        <v>28</v>
      </c>
      <c r="D101" t="str" cm="1">
        <f t="array" ref="D101">insertinto(A101:C101,$E$2:$F$4,"pr_Midterms_Results")</f>
        <v>insert into pr_Midterms_Results values ('20226724', 'M-4', 28);</v>
      </c>
      <c r="H101">
        <v>99</v>
      </c>
    </row>
    <row r="102" spans="1:8" x14ac:dyDescent="0.15">
      <c r="A102">
        <f t="shared" si="6"/>
        <v>20226724</v>
      </c>
      <c r="B102" t="str">
        <f t="shared" si="7"/>
        <v>M-5</v>
      </c>
      <c r="C102">
        <v>18</v>
      </c>
      <c r="D102" t="str" cm="1">
        <f t="array" ref="D102">insertinto(A102:C102,$E$2:$F$4,"pr_Midterms_Results")</f>
        <v>insert into pr_Midterms_Results values ('20226724', 'M-5', 18);</v>
      </c>
      <c r="H102">
        <v>100</v>
      </c>
    </row>
    <row r="103" spans="1:8" x14ac:dyDescent="0.15">
      <c r="A103">
        <f t="shared" si="6"/>
        <v>20226724</v>
      </c>
      <c r="B103" t="str">
        <f t="shared" si="7"/>
        <v>M-6</v>
      </c>
      <c r="C103">
        <v>23</v>
      </c>
      <c r="D103" t="str" cm="1">
        <f t="array" ref="D103">insertinto(A103:C103,$E$2:$F$4,"pr_Midterms_Results")</f>
        <v>insert into pr_Midterms_Results values ('20226724', 'M-6', 23);</v>
      </c>
      <c r="H103">
        <v>101</v>
      </c>
    </row>
    <row r="104" spans="1:8" x14ac:dyDescent="0.15">
      <c r="A104">
        <f t="shared" si="6"/>
        <v>20225519</v>
      </c>
      <c r="B104" t="str">
        <f t="shared" si="7"/>
        <v>M-1</v>
      </c>
      <c r="C104">
        <v>48</v>
      </c>
      <c r="D104" t="str" cm="1">
        <f t="array" ref="D104">insertinto(A104:C104,$E$2:$F$4,"pr_Midterms_Results")</f>
        <v>insert into pr_Midterms_Results values ('20225519', 'M-1', 48);</v>
      </c>
      <c r="H104">
        <v>102</v>
      </c>
    </row>
    <row r="105" spans="1:8" x14ac:dyDescent="0.15">
      <c r="A105">
        <f t="shared" si="6"/>
        <v>20225519</v>
      </c>
      <c r="B105" t="str">
        <f t="shared" si="7"/>
        <v>M-2</v>
      </c>
      <c r="C105">
        <v>31</v>
      </c>
      <c r="D105" t="str" cm="1">
        <f t="array" ref="D105">insertinto(A105:C105,$E$2:$F$4,"pr_Midterms_Results")</f>
        <v>insert into pr_Midterms_Results values ('20225519', 'M-2', 31);</v>
      </c>
      <c r="H105">
        <v>103</v>
      </c>
    </row>
    <row r="106" spans="1:8" x14ac:dyDescent="0.15">
      <c r="A106">
        <f t="shared" si="6"/>
        <v>20225519</v>
      </c>
      <c r="B106" t="str">
        <f t="shared" si="7"/>
        <v>M-3</v>
      </c>
      <c r="C106">
        <v>13</v>
      </c>
      <c r="D106" t="str" cm="1">
        <f t="array" ref="D106">insertinto(A106:C106,$E$2:$F$4,"pr_Midterms_Results")</f>
        <v>insert into pr_Midterms_Results values ('20225519', 'M-3', 13);</v>
      </c>
      <c r="H106">
        <v>104</v>
      </c>
    </row>
    <row r="107" spans="1:8" x14ac:dyDescent="0.15">
      <c r="A107">
        <f t="shared" si="6"/>
        <v>20225519</v>
      </c>
      <c r="B107" t="str">
        <f t="shared" si="7"/>
        <v>M-4</v>
      </c>
      <c r="C107">
        <v>52</v>
      </c>
      <c r="D107" t="str" cm="1">
        <f t="array" ref="D107">insertinto(A107:C107,$E$2:$F$4,"pr_Midterms_Results")</f>
        <v>insert into pr_Midterms_Results values ('20225519', 'M-4', 52);</v>
      </c>
      <c r="H107">
        <v>105</v>
      </c>
    </row>
    <row r="108" spans="1:8" x14ac:dyDescent="0.15">
      <c r="A108">
        <f t="shared" si="6"/>
        <v>20225519</v>
      </c>
      <c r="B108" t="str">
        <f t="shared" si="7"/>
        <v>M-5</v>
      </c>
      <c r="C108">
        <v>41</v>
      </c>
      <c r="D108" t="str" cm="1">
        <f t="array" ref="D108">insertinto(A108:C108,$E$2:$F$4,"pr_Midterms_Results")</f>
        <v>insert into pr_Midterms_Results values ('20225519', 'M-5', 41);</v>
      </c>
      <c r="H108">
        <v>106</v>
      </c>
    </row>
    <row r="109" spans="1:8" x14ac:dyDescent="0.15">
      <c r="A109">
        <f t="shared" si="6"/>
        <v>20225519</v>
      </c>
      <c r="B109" t="str">
        <f t="shared" si="7"/>
        <v>M-6</v>
      </c>
      <c r="C109">
        <v>27</v>
      </c>
      <c r="D109" t="str" cm="1">
        <f t="array" ref="D109">insertinto(A109:C109,$E$2:$F$4,"pr_Midterms_Results")</f>
        <v>insert into pr_Midterms_Results values ('20225519', 'M-6', 27);</v>
      </c>
      <c r="H109">
        <v>107</v>
      </c>
    </row>
    <row r="110" spans="1:8" x14ac:dyDescent="0.15">
      <c r="A110">
        <f t="shared" si="6"/>
        <v>20227388</v>
      </c>
      <c r="B110" t="str">
        <f t="shared" si="7"/>
        <v>M-1</v>
      </c>
      <c r="C110">
        <v>45</v>
      </c>
      <c r="D110" t="str" cm="1">
        <f t="array" ref="D110">insertinto(A110:C110,$E$2:$F$4,"pr_Midterms_Results")</f>
        <v>insert into pr_Midterms_Results values ('20227388', 'M-1', 45);</v>
      </c>
      <c r="H110">
        <v>108</v>
      </c>
    </row>
    <row r="111" spans="1:8" x14ac:dyDescent="0.15">
      <c r="A111">
        <f t="shared" si="6"/>
        <v>20227388</v>
      </c>
      <c r="B111" t="str">
        <f t="shared" si="7"/>
        <v>M-2</v>
      </c>
      <c r="C111">
        <v>43</v>
      </c>
      <c r="D111" t="str" cm="1">
        <f t="array" ref="D111">insertinto(A111:C111,$E$2:$F$4,"pr_Midterms_Results")</f>
        <v>insert into pr_Midterms_Results values ('20227388', 'M-2', 43);</v>
      </c>
      <c r="H111">
        <v>109</v>
      </c>
    </row>
    <row r="112" spans="1:8" x14ac:dyDescent="0.15">
      <c r="A112">
        <f t="shared" si="6"/>
        <v>20227388</v>
      </c>
      <c r="B112" t="str">
        <f t="shared" si="7"/>
        <v>M-3</v>
      </c>
      <c r="C112">
        <v>5</v>
      </c>
      <c r="D112" t="str" cm="1">
        <f t="array" ref="D112">insertinto(A112:C112,$E$2:$F$4,"pr_Midterms_Results")</f>
        <v>insert into pr_Midterms_Results values ('20227388', 'M-3', 5);</v>
      </c>
      <c r="H112">
        <v>110</v>
      </c>
    </row>
    <row r="113" spans="1:8" x14ac:dyDescent="0.15">
      <c r="A113">
        <f t="shared" si="6"/>
        <v>20227388</v>
      </c>
      <c r="B113" t="str">
        <f t="shared" si="7"/>
        <v>M-4</v>
      </c>
      <c r="C113">
        <v>46</v>
      </c>
      <c r="D113" t="str" cm="1">
        <f t="array" ref="D113">insertinto(A113:C113,$E$2:$F$4,"pr_Midterms_Results")</f>
        <v>insert into pr_Midterms_Results values ('20227388', 'M-4', 46);</v>
      </c>
      <c r="H113">
        <v>111</v>
      </c>
    </row>
    <row r="114" spans="1:8" x14ac:dyDescent="0.15">
      <c r="A114">
        <f t="shared" si="6"/>
        <v>20227388</v>
      </c>
      <c r="B114" t="str">
        <f t="shared" si="7"/>
        <v>M-5</v>
      </c>
      <c r="C114">
        <v>5</v>
      </c>
      <c r="D114" t="str" cm="1">
        <f t="array" ref="D114">insertinto(A114:C114,$E$2:$F$4,"pr_Midterms_Results")</f>
        <v>insert into pr_Midterms_Results values ('20227388', 'M-5', 5);</v>
      </c>
      <c r="H114">
        <v>112</v>
      </c>
    </row>
    <row r="115" spans="1:8" x14ac:dyDescent="0.15">
      <c r="A115">
        <f t="shared" si="6"/>
        <v>20227388</v>
      </c>
      <c r="B115" t="str">
        <f t="shared" si="7"/>
        <v>M-6</v>
      </c>
      <c r="C115">
        <v>28</v>
      </c>
      <c r="D115" t="str" cm="1">
        <f t="array" ref="D115">insertinto(A115:C115,$E$2:$F$4,"pr_Midterms_Results")</f>
        <v>insert into pr_Midterms_Results values ('20227388', 'M-6', 28);</v>
      </c>
      <c r="H115">
        <v>113</v>
      </c>
    </row>
    <row r="116" spans="1:8" x14ac:dyDescent="0.15">
      <c r="A116">
        <f t="shared" si="6"/>
        <v>20223671</v>
      </c>
      <c r="B116" t="str">
        <f t="shared" si="7"/>
        <v>M-1</v>
      </c>
      <c r="C116">
        <v>26</v>
      </c>
      <c r="D116" t="str" cm="1">
        <f t="array" ref="D116">insertinto(A116:C116,$E$2:$F$4,"pr_Midterms_Results")</f>
        <v>insert into pr_Midterms_Results values ('20223671', 'M-1', 26);</v>
      </c>
      <c r="H116">
        <v>114</v>
      </c>
    </row>
    <row r="117" spans="1:8" x14ac:dyDescent="0.15">
      <c r="A117">
        <f t="shared" si="6"/>
        <v>20223671</v>
      </c>
      <c r="B117" t="str">
        <f t="shared" si="7"/>
        <v>M-2</v>
      </c>
      <c r="C117">
        <v>50</v>
      </c>
      <c r="D117" t="str" cm="1">
        <f t="array" ref="D117">insertinto(A117:C117,$E$2:$F$4,"pr_Midterms_Results")</f>
        <v>insert into pr_Midterms_Results values ('20223671', 'M-2', 50);</v>
      </c>
      <c r="H117">
        <v>115</v>
      </c>
    </row>
    <row r="118" spans="1:8" x14ac:dyDescent="0.15">
      <c r="A118">
        <f t="shared" si="6"/>
        <v>20223671</v>
      </c>
      <c r="B118" t="str">
        <f t="shared" si="7"/>
        <v>M-3</v>
      </c>
      <c r="C118">
        <v>11</v>
      </c>
      <c r="D118" t="str" cm="1">
        <f t="array" ref="D118">insertinto(A118:C118,$E$2:$F$4,"pr_Midterms_Results")</f>
        <v>insert into pr_Midterms_Results values ('20223671', 'M-3', 11);</v>
      </c>
      <c r="H118">
        <v>116</v>
      </c>
    </row>
    <row r="119" spans="1:8" x14ac:dyDescent="0.15">
      <c r="A119">
        <f t="shared" si="6"/>
        <v>20223671</v>
      </c>
      <c r="B119" t="str">
        <f t="shared" si="7"/>
        <v>M-4</v>
      </c>
      <c r="C119">
        <v>43</v>
      </c>
      <c r="D119" t="str" cm="1">
        <f t="array" ref="D119">insertinto(A119:C119,$E$2:$F$4,"pr_Midterms_Results")</f>
        <v>insert into pr_Midterms_Results values ('20223671', 'M-4', 43);</v>
      </c>
      <c r="H119">
        <v>117</v>
      </c>
    </row>
    <row r="120" spans="1:8" x14ac:dyDescent="0.15">
      <c r="A120">
        <f t="shared" si="6"/>
        <v>20223671</v>
      </c>
      <c r="B120" t="str">
        <f t="shared" si="7"/>
        <v>M-5</v>
      </c>
      <c r="C120">
        <v>43</v>
      </c>
      <c r="D120" t="str" cm="1">
        <f t="array" ref="D120">insertinto(A120:C120,$E$2:$F$4,"pr_Midterms_Results")</f>
        <v>insert into pr_Midterms_Results values ('20223671', 'M-5', 43);</v>
      </c>
      <c r="H120">
        <v>118</v>
      </c>
    </row>
    <row r="121" spans="1:8" x14ac:dyDescent="0.15">
      <c r="A121">
        <f t="shared" si="6"/>
        <v>20223671</v>
      </c>
      <c r="B121" t="str">
        <f t="shared" si="7"/>
        <v>M-6</v>
      </c>
      <c r="C121">
        <v>28</v>
      </c>
      <c r="D121" t="str" cm="1">
        <f t="array" ref="D121">insertinto(A121:C121,$E$2:$F$4,"pr_Midterms_Results")</f>
        <v>insert into pr_Midterms_Results values ('20223671', 'M-6', 28);</v>
      </c>
      <c r="H121">
        <v>119</v>
      </c>
    </row>
  </sheetData>
  <pageMargins left="0.7" right="0.7" top="0.75" bottom="0.75" header="0.3" footer="0.3"/>
  <pageSetup paperSize="9" orientation="portrait" horizontalDpi="0" verticalDpi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AECFD9-3EC0-3F46-916A-8A1ECE5A7E95}">
  <dimension ref="A1:J221"/>
  <sheetViews>
    <sheetView zoomScale="125" workbookViewId="0">
      <selection activeCell="D2" sqref="D2:D221"/>
    </sheetView>
  </sheetViews>
  <sheetFormatPr baseColWidth="10" defaultRowHeight="13" x14ac:dyDescent="0.15"/>
  <cols>
    <col min="4" max="4" width="51.33203125" bestFit="1" customWidth="1"/>
    <col min="5" max="5" width="10" bestFit="1" customWidth="1"/>
  </cols>
  <sheetData>
    <row r="1" spans="1:10" x14ac:dyDescent="0.15">
      <c r="A1" s="23" t="s">
        <v>4135</v>
      </c>
      <c r="B1" s="23" t="s">
        <v>4207</v>
      </c>
      <c r="C1" s="14" t="s">
        <v>4217</v>
      </c>
    </row>
    <row r="2" spans="1:10" x14ac:dyDescent="0.15">
      <c r="A2">
        <f t="shared" ref="A2:A65" si="0">INDEX($I$2:$I$51,INT(H2/11)+1)</f>
        <v>20229553</v>
      </c>
      <c r="B2" t="str">
        <f t="shared" ref="B2:B65" si="1">INDEX($J$2:$J$12,MOD(H2,11)+1)</f>
        <v>F-0287</v>
      </c>
      <c r="C2" s="27">
        <v>100</v>
      </c>
      <c r="D2" t="str" cm="1">
        <f t="array" ref="D2">insertinto(A2:C2,$E$2:$F$4,"pr_Finals_Results")</f>
        <v>insert into pr_Finals_Results values ('20229553', 'F-0287', 100);</v>
      </c>
      <c r="E2" s="14" t="s">
        <v>4135</v>
      </c>
      <c r="F2" s="14" t="s">
        <v>4231</v>
      </c>
      <c r="H2">
        <v>0</v>
      </c>
      <c r="I2">
        <f xml:space="preserve"> VLOOKUP(Students!C2,Students!C:I,1,0)</f>
        <v>20229553</v>
      </c>
      <c r="J2" t="str">
        <f xml:space="preserve"> VLOOKUP(Finals!A2,Finals!A:I,1,0)</f>
        <v>F-0287</v>
      </c>
    </row>
    <row r="3" spans="1:10" x14ac:dyDescent="0.15">
      <c r="A3">
        <f t="shared" si="0"/>
        <v>20229553</v>
      </c>
      <c r="B3" t="str">
        <f t="shared" si="1"/>
        <v>F-0587</v>
      </c>
      <c r="C3" s="27">
        <v>93</v>
      </c>
      <c r="D3" t="str" cm="1">
        <f t="array" ref="D3">insertinto(A3:C3,$E$2:$F$4,"pr_Finals_Results")</f>
        <v>insert into pr_Finals_Results values ('20229553', 'F-0587', 93);</v>
      </c>
      <c r="E3" s="14" t="s">
        <v>4207</v>
      </c>
      <c r="F3" s="14" t="s">
        <v>4231</v>
      </c>
      <c r="H3">
        <v>1</v>
      </c>
      <c r="I3">
        <f xml:space="preserve"> VLOOKUP(Students!C3,Students!C:I,1,0)</f>
        <v>20221414</v>
      </c>
      <c r="J3" t="str">
        <f xml:space="preserve"> VLOOKUP(Finals!A3,Finals!A:I,1,0)</f>
        <v>F-0587</v>
      </c>
    </row>
    <row r="4" spans="1:10" x14ac:dyDescent="0.15">
      <c r="A4">
        <f t="shared" si="0"/>
        <v>20229553</v>
      </c>
      <c r="B4" t="str">
        <f t="shared" si="1"/>
        <v>F-0443</v>
      </c>
      <c r="C4" s="27">
        <v>75</v>
      </c>
      <c r="D4" t="str" cm="1">
        <f t="array" ref="D4">insertinto(A4:C4,$E$2:$F$4,"pr_Finals_Results")</f>
        <v>insert into pr_Finals_Results values ('20229553', 'F-0443', 75);</v>
      </c>
      <c r="E4" s="14" t="s">
        <v>4217</v>
      </c>
      <c r="F4" s="14" t="s">
        <v>4232</v>
      </c>
      <c r="H4">
        <v>2</v>
      </c>
      <c r="I4">
        <f xml:space="preserve"> VLOOKUP(Students!C4,Students!C:I,1,0)</f>
        <v>20224306</v>
      </c>
      <c r="J4" t="str">
        <f xml:space="preserve"> VLOOKUP(Finals!A4,Finals!A:I,1,0)</f>
        <v>F-0443</v>
      </c>
    </row>
    <row r="5" spans="1:10" x14ac:dyDescent="0.15">
      <c r="A5">
        <f t="shared" si="0"/>
        <v>20229553</v>
      </c>
      <c r="B5" t="str">
        <f t="shared" si="1"/>
        <v>F-0771</v>
      </c>
      <c r="C5" s="27">
        <v>91</v>
      </c>
      <c r="D5" t="str" cm="1">
        <f t="array" ref="D5">insertinto(A5:C5,$E$2:$F$4,"pr_Finals_Results")</f>
        <v>insert into pr_Finals_Results values ('20229553', 'F-0771', 91);</v>
      </c>
      <c r="H5">
        <v>3</v>
      </c>
      <c r="I5">
        <f xml:space="preserve"> VLOOKUP(Students!C5,Students!C:I,1,0)</f>
        <v>20220731</v>
      </c>
      <c r="J5" t="str">
        <f xml:space="preserve"> VLOOKUP(Finals!A5,Finals!A:I,1,0)</f>
        <v>F-0771</v>
      </c>
    </row>
    <row r="6" spans="1:10" x14ac:dyDescent="0.15">
      <c r="A6">
        <f t="shared" si="0"/>
        <v>20229553</v>
      </c>
      <c r="B6" t="str">
        <f t="shared" si="1"/>
        <v>F-0080</v>
      </c>
      <c r="C6" s="27">
        <v>91</v>
      </c>
      <c r="D6" t="str" cm="1">
        <f t="array" ref="D6">insertinto(A6:C6,$E$2:$F$4,"pr_Finals_Results")</f>
        <v>insert into pr_Finals_Results values ('20229553', 'F-0080', 91);</v>
      </c>
      <c r="H6">
        <v>4</v>
      </c>
      <c r="I6">
        <f xml:space="preserve"> VLOOKUP(Students!C6,Students!C:I,1,0)</f>
        <v>20227092</v>
      </c>
      <c r="J6" t="str">
        <f xml:space="preserve"> VLOOKUP(Finals!A6,Finals!A:I,1,0)</f>
        <v>F-0080</v>
      </c>
    </row>
    <row r="7" spans="1:10" x14ac:dyDescent="0.15">
      <c r="A7">
        <f t="shared" si="0"/>
        <v>20229553</v>
      </c>
      <c r="B7" t="str">
        <f t="shared" si="1"/>
        <v>F-0106</v>
      </c>
      <c r="C7" s="27">
        <v>83</v>
      </c>
      <c r="D7" t="str" cm="1">
        <f t="array" ref="D7">insertinto(A7:C7,$E$2:$F$4,"pr_Finals_Results")</f>
        <v>insert into pr_Finals_Results values ('20229553', 'F-0106', 83);</v>
      </c>
      <c r="H7">
        <v>5</v>
      </c>
      <c r="I7">
        <f xml:space="preserve"> VLOOKUP(Students!C7,Students!C:I,1,0)</f>
        <v>20226184</v>
      </c>
      <c r="J7" t="str">
        <f xml:space="preserve"> VLOOKUP(Finals!A7,Finals!A:I,1,0)</f>
        <v>F-0106</v>
      </c>
    </row>
    <row r="8" spans="1:10" x14ac:dyDescent="0.15">
      <c r="A8">
        <f t="shared" si="0"/>
        <v>20229553</v>
      </c>
      <c r="B8" t="str">
        <f t="shared" si="1"/>
        <v>F-0663</v>
      </c>
      <c r="C8" s="27">
        <v>81</v>
      </c>
      <c r="D8" t="str" cm="1">
        <f t="array" ref="D8">insertinto(A8:C8,$E$2:$F$4,"pr_Finals_Results")</f>
        <v>insert into pr_Finals_Results values ('20229553', 'F-0663', 81);</v>
      </c>
      <c r="H8">
        <v>6</v>
      </c>
      <c r="I8">
        <f xml:space="preserve"> VLOOKUP(Students!C8,Students!C:I,1,0)</f>
        <v>20229558</v>
      </c>
      <c r="J8" t="str">
        <f xml:space="preserve"> VLOOKUP(Finals!A8,Finals!A:I,1,0)</f>
        <v>F-0663</v>
      </c>
    </row>
    <row r="9" spans="1:10" x14ac:dyDescent="0.15">
      <c r="A9">
        <f t="shared" si="0"/>
        <v>20229553</v>
      </c>
      <c r="B9" t="str">
        <f t="shared" si="1"/>
        <v>F-0740</v>
      </c>
      <c r="C9" s="27">
        <v>75</v>
      </c>
      <c r="D9" t="str" cm="1">
        <f t="array" ref="D9">insertinto(A9:C9,$E$2:$F$4,"pr_Finals_Results")</f>
        <v>insert into pr_Finals_Results values ('20229553', 'F-0740', 75);</v>
      </c>
      <c r="H9">
        <v>7</v>
      </c>
      <c r="I9">
        <f xml:space="preserve"> VLOOKUP(Students!C9,Students!C:I,1,0)</f>
        <v>20228839</v>
      </c>
      <c r="J9" t="str">
        <f xml:space="preserve"> VLOOKUP(Finals!A9,Finals!A:I,1,0)</f>
        <v>F-0740</v>
      </c>
    </row>
    <row r="10" spans="1:10" x14ac:dyDescent="0.15">
      <c r="A10">
        <f t="shared" si="0"/>
        <v>20229553</v>
      </c>
      <c r="B10" t="str">
        <f t="shared" si="1"/>
        <v>F-0603</v>
      </c>
      <c r="C10" s="27">
        <v>78</v>
      </c>
      <c r="D10" t="str" cm="1">
        <f t="array" ref="D10">insertinto(A10:C10,$E$2:$F$4,"pr_Finals_Results")</f>
        <v>insert into pr_Finals_Results values ('20229553', 'F-0603', 78);</v>
      </c>
      <c r="H10">
        <v>8</v>
      </c>
      <c r="I10">
        <f xml:space="preserve"> VLOOKUP(Students!C10,Students!C:I,1,0)</f>
        <v>20227541</v>
      </c>
      <c r="J10" t="str">
        <f xml:space="preserve"> VLOOKUP(Finals!A10,Finals!A:I,1,0)</f>
        <v>F-0603</v>
      </c>
    </row>
    <row r="11" spans="1:10" x14ac:dyDescent="0.15">
      <c r="A11">
        <f t="shared" si="0"/>
        <v>20229553</v>
      </c>
      <c r="B11" t="str">
        <f t="shared" si="1"/>
        <v>F-0428</v>
      </c>
      <c r="C11" s="27">
        <v>80</v>
      </c>
      <c r="D11" t="str" cm="1">
        <f t="array" ref="D11">insertinto(A11:C11,$E$2:$F$4,"pr_Finals_Results")</f>
        <v>insert into pr_Finals_Results values ('20229553', 'F-0428', 80);</v>
      </c>
      <c r="H11">
        <v>9</v>
      </c>
      <c r="I11">
        <f xml:space="preserve"> VLOOKUP(Students!C11,Students!C:I,1,0)</f>
        <v>20227466</v>
      </c>
      <c r="J11" t="str">
        <f xml:space="preserve"> VLOOKUP(Finals!A11,Finals!A:I,1,0)</f>
        <v>F-0428</v>
      </c>
    </row>
    <row r="12" spans="1:10" x14ac:dyDescent="0.15">
      <c r="A12">
        <f t="shared" si="0"/>
        <v>20229553</v>
      </c>
      <c r="B12" t="str">
        <f t="shared" si="1"/>
        <v>F-0732</v>
      </c>
      <c r="C12" s="27">
        <v>75</v>
      </c>
      <c r="D12" t="str" cm="1">
        <f t="array" ref="D12">insertinto(A12:C12,$E$2:$F$4,"pr_Finals_Results")</f>
        <v>insert into pr_Finals_Results values ('20229553', 'F-0732', 75);</v>
      </c>
      <c r="H12">
        <v>10</v>
      </c>
      <c r="I12">
        <f xml:space="preserve"> VLOOKUP(Students!C12,Students!C:I,1,0)</f>
        <v>20226221</v>
      </c>
      <c r="J12" t="str">
        <f xml:space="preserve"> VLOOKUP(Finals!A12,Finals!A:I,1,0)</f>
        <v>F-0732</v>
      </c>
    </row>
    <row r="13" spans="1:10" x14ac:dyDescent="0.15">
      <c r="A13">
        <f t="shared" si="0"/>
        <v>20221414</v>
      </c>
      <c r="B13" t="str">
        <f t="shared" si="1"/>
        <v>F-0287</v>
      </c>
      <c r="C13" s="27">
        <v>95</v>
      </c>
      <c r="D13" t="str" cm="1">
        <f t="array" ref="D13">insertinto(A13:C13,$E$2:$F$4,"pr_Finals_Results")</f>
        <v>insert into pr_Finals_Results values ('20221414', 'F-0287', 95);</v>
      </c>
      <c r="H13">
        <v>11</v>
      </c>
      <c r="I13">
        <f xml:space="preserve"> VLOOKUP(Students!C13,Students!C:I,1,0)</f>
        <v>20224946</v>
      </c>
    </row>
    <row r="14" spans="1:10" x14ac:dyDescent="0.15">
      <c r="A14">
        <f t="shared" si="0"/>
        <v>20221414</v>
      </c>
      <c r="B14" t="str">
        <f t="shared" si="1"/>
        <v>F-0587</v>
      </c>
      <c r="C14" s="27">
        <v>87</v>
      </c>
      <c r="D14" t="str" cm="1">
        <f t="array" ref="D14">insertinto(A14:C14,$E$2:$F$4,"pr_Finals_Results")</f>
        <v>insert into pr_Finals_Results values ('20221414', 'F-0587', 87);</v>
      </c>
      <c r="H14">
        <v>12</v>
      </c>
      <c r="I14">
        <f xml:space="preserve"> VLOOKUP(Students!C14,Students!C:I,1,0)</f>
        <v>20227782</v>
      </c>
    </row>
    <row r="15" spans="1:10" x14ac:dyDescent="0.15">
      <c r="A15">
        <f t="shared" si="0"/>
        <v>20221414</v>
      </c>
      <c r="B15" t="str">
        <f t="shared" si="1"/>
        <v>F-0443</v>
      </c>
      <c r="C15" s="27">
        <v>96</v>
      </c>
      <c r="D15" t="str" cm="1">
        <f t="array" ref="D15">insertinto(A15:C15,$E$2:$F$4,"pr_Finals_Results")</f>
        <v>insert into pr_Finals_Results values ('20221414', 'F-0443', 96);</v>
      </c>
      <c r="H15">
        <v>13</v>
      </c>
      <c r="I15">
        <f xml:space="preserve"> VLOOKUP(Students!C15,Students!C:I,1,0)</f>
        <v>20227177</v>
      </c>
    </row>
    <row r="16" spans="1:10" x14ac:dyDescent="0.15">
      <c r="A16">
        <f t="shared" si="0"/>
        <v>20221414</v>
      </c>
      <c r="B16" t="str">
        <f t="shared" si="1"/>
        <v>F-0771</v>
      </c>
      <c r="C16" s="27">
        <v>91</v>
      </c>
      <c r="D16" t="str" cm="1">
        <f t="array" ref="D16">insertinto(A16:C16,$E$2:$F$4,"pr_Finals_Results")</f>
        <v>insert into pr_Finals_Results values ('20221414', 'F-0771', 91);</v>
      </c>
      <c r="H16">
        <v>14</v>
      </c>
      <c r="I16">
        <f xml:space="preserve"> VLOOKUP(Students!C16,Students!C:I,1,0)</f>
        <v>20221564</v>
      </c>
    </row>
    <row r="17" spans="1:9" x14ac:dyDescent="0.15">
      <c r="A17">
        <f t="shared" si="0"/>
        <v>20221414</v>
      </c>
      <c r="B17" t="str">
        <f t="shared" si="1"/>
        <v>F-0080</v>
      </c>
      <c r="C17" s="27">
        <v>79</v>
      </c>
      <c r="D17" t="str" cm="1">
        <f t="array" ref="D17">insertinto(A17:C17,$E$2:$F$4,"pr_Finals_Results")</f>
        <v>insert into pr_Finals_Results values ('20221414', 'F-0080', 79);</v>
      </c>
      <c r="H17">
        <v>15</v>
      </c>
      <c r="I17">
        <f xml:space="preserve"> VLOOKUP(Students!C17,Students!C:I,1,0)</f>
        <v>20224484</v>
      </c>
    </row>
    <row r="18" spans="1:9" x14ac:dyDescent="0.15">
      <c r="A18">
        <f t="shared" si="0"/>
        <v>20221414</v>
      </c>
      <c r="B18" t="str">
        <f t="shared" si="1"/>
        <v>F-0106</v>
      </c>
      <c r="C18" s="27">
        <v>79</v>
      </c>
      <c r="D18" t="str" cm="1">
        <f t="array" ref="D18">insertinto(A18:C18,$E$2:$F$4,"pr_Finals_Results")</f>
        <v>insert into pr_Finals_Results values ('20221414', 'F-0106', 79);</v>
      </c>
      <c r="H18">
        <v>16</v>
      </c>
      <c r="I18">
        <f xml:space="preserve"> VLOOKUP(Students!C18,Students!C:I,1,0)</f>
        <v>20226724</v>
      </c>
    </row>
    <row r="19" spans="1:9" x14ac:dyDescent="0.15">
      <c r="A19">
        <f t="shared" si="0"/>
        <v>20221414</v>
      </c>
      <c r="B19" t="str">
        <f t="shared" si="1"/>
        <v>F-0663</v>
      </c>
      <c r="C19" s="27">
        <v>79</v>
      </c>
      <c r="D19" t="str" cm="1">
        <f t="array" ref="D19">insertinto(A19:C19,$E$2:$F$4,"pr_Finals_Results")</f>
        <v>insert into pr_Finals_Results values ('20221414', 'F-0663', 79);</v>
      </c>
      <c r="H19">
        <v>17</v>
      </c>
      <c r="I19">
        <f xml:space="preserve"> VLOOKUP(Students!C19,Students!C:I,1,0)</f>
        <v>20225519</v>
      </c>
    </row>
    <row r="20" spans="1:9" x14ac:dyDescent="0.15">
      <c r="A20">
        <f t="shared" si="0"/>
        <v>20221414</v>
      </c>
      <c r="B20" t="str">
        <f t="shared" si="1"/>
        <v>F-0740</v>
      </c>
      <c r="C20" s="27">
        <v>98</v>
      </c>
      <c r="D20" t="str" cm="1">
        <f t="array" ref="D20">insertinto(A20:C20,$E$2:$F$4,"pr_Finals_Results")</f>
        <v>insert into pr_Finals_Results values ('20221414', 'F-0740', 98);</v>
      </c>
      <c r="H20">
        <v>18</v>
      </c>
      <c r="I20">
        <f xml:space="preserve"> VLOOKUP(Students!C20,Students!C:I,1,0)</f>
        <v>20227388</v>
      </c>
    </row>
    <row r="21" spans="1:9" x14ac:dyDescent="0.15">
      <c r="A21">
        <f t="shared" si="0"/>
        <v>20221414</v>
      </c>
      <c r="B21" t="str">
        <f t="shared" si="1"/>
        <v>F-0603</v>
      </c>
      <c r="C21" s="27">
        <v>78</v>
      </c>
      <c r="D21" t="str" cm="1">
        <f t="array" ref="D21">insertinto(A21:C21,$E$2:$F$4,"pr_Finals_Results")</f>
        <v>insert into pr_Finals_Results values ('20221414', 'F-0603', 78);</v>
      </c>
      <c r="H21">
        <v>19</v>
      </c>
      <c r="I21">
        <f xml:space="preserve"> VLOOKUP(Students!C21,Students!C:I,1,0)</f>
        <v>20223671</v>
      </c>
    </row>
    <row r="22" spans="1:9" x14ac:dyDescent="0.15">
      <c r="A22">
        <f t="shared" si="0"/>
        <v>20221414</v>
      </c>
      <c r="B22" t="str">
        <f t="shared" si="1"/>
        <v>F-0428</v>
      </c>
      <c r="C22" s="27">
        <v>91</v>
      </c>
      <c r="D22" t="str" cm="1">
        <f t="array" ref="D22">insertinto(A22:C22,$E$2:$F$4,"pr_Finals_Results")</f>
        <v>insert into pr_Finals_Results values ('20221414', 'F-0428', 91);</v>
      </c>
      <c r="H22">
        <v>20</v>
      </c>
    </row>
    <row r="23" spans="1:9" x14ac:dyDescent="0.15">
      <c r="A23">
        <f t="shared" si="0"/>
        <v>20221414</v>
      </c>
      <c r="B23" t="str">
        <f t="shared" si="1"/>
        <v>F-0732</v>
      </c>
      <c r="C23" s="27">
        <v>82</v>
      </c>
      <c r="D23" t="str" cm="1">
        <f t="array" ref="D23">insertinto(A23:C23,$E$2:$F$4,"pr_Finals_Results")</f>
        <v>insert into pr_Finals_Results values ('20221414', 'F-0732', 82);</v>
      </c>
      <c r="H23">
        <v>21</v>
      </c>
    </row>
    <row r="24" spans="1:9" x14ac:dyDescent="0.15">
      <c r="A24">
        <f t="shared" si="0"/>
        <v>20224306</v>
      </c>
      <c r="B24" t="str">
        <f t="shared" si="1"/>
        <v>F-0287</v>
      </c>
      <c r="C24" s="27">
        <v>81</v>
      </c>
      <c r="D24" t="str" cm="1">
        <f t="array" ref="D24">insertinto(A24:C24,$E$2:$F$4,"pr_Finals_Results")</f>
        <v>insert into pr_Finals_Results values ('20224306', 'F-0287', 81);</v>
      </c>
      <c r="H24">
        <v>22</v>
      </c>
    </row>
    <row r="25" spans="1:9" x14ac:dyDescent="0.15">
      <c r="A25">
        <f t="shared" si="0"/>
        <v>20224306</v>
      </c>
      <c r="B25" t="str">
        <f t="shared" si="1"/>
        <v>F-0587</v>
      </c>
      <c r="C25" s="27">
        <v>83</v>
      </c>
      <c r="D25" t="str" cm="1">
        <f t="array" ref="D25">insertinto(A25:C25,$E$2:$F$4,"pr_Finals_Results")</f>
        <v>insert into pr_Finals_Results values ('20224306', 'F-0587', 83);</v>
      </c>
      <c r="H25">
        <v>23</v>
      </c>
    </row>
    <row r="26" spans="1:9" x14ac:dyDescent="0.15">
      <c r="A26">
        <f t="shared" si="0"/>
        <v>20224306</v>
      </c>
      <c r="B26" t="str">
        <f t="shared" si="1"/>
        <v>F-0443</v>
      </c>
      <c r="C26" s="27">
        <v>95</v>
      </c>
      <c r="D26" t="str" cm="1">
        <f t="array" ref="D26">insertinto(A26:C26,$E$2:$F$4,"pr_Finals_Results")</f>
        <v>insert into pr_Finals_Results values ('20224306', 'F-0443', 95);</v>
      </c>
      <c r="H26">
        <v>24</v>
      </c>
    </row>
    <row r="27" spans="1:9" x14ac:dyDescent="0.15">
      <c r="A27">
        <f t="shared" si="0"/>
        <v>20224306</v>
      </c>
      <c r="B27" t="str">
        <f t="shared" si="1"/>
        <v>F-0771</v>
      </c>
      <c r="C27" s="27">
        <v>80</v>
      </c>
      <c r="D27" t="str" cm="1">
        <f t="array" ref="D27">insertinto(A27:C27,$E$2:$F$4,"pr_Finals_Results")</f>
        <v>insert into pr_Finals_Results values ('20224306', 'F-0771', 80);</v>
      </c>
      <c r="H27">
        <v>25</v>
      </c>
    </row>
    <row r="28" spans="1:9" x14ac:dyDescent="0.15">
      <c r="A28">
        <f t="shared" si="0"/>
        <v>20224306</v>
      </c>
      <c r="B28" t="str">
        <f t="shared" si="1"/>
        <v>F-0080</v>
      </c>
      <c r="C28" s="27">
        <v>81</v>
      </c>
      <c r="D28" t="str" cm="1">
        <f t="array" ref="D28">insertinto(A28:C28,$E$2:$F$4,"pr_Finals_Results")</f>
        <v>insert into pr_Finals_Results values ('20224306', 'F-0080', 81);</v>
      </c>
      <c r="H28">
        <v>26</v>
      </c>
    </row>
    <row r="29" spans="1:9" x14ac:dyDescent="0.15">
      <c r="A29">
        <f t="shared" si="0"/>
        <v>20224306</v>
      </c>
      <c r="B29" t="str">
        <f t="shared" si="1"/>
        <v>F-0106</v>
      </c>
      <c r="C29" s="27">
        <v>90</v>
      </c>
      <c r="D29" t="str" cm="1">
        <f t="array" ref="D29">insertinto(A29:C29,$E$2:$F$4,"pr_Finals_Results")</f>
        <v>insert into pr_Finals_Results values ('20224306', 'F-0106', 90);</v>
      </c>
      <c r="H29">
        <v>27</v>
      </c>
    </row>
    <row r="30" spans="1:9" x14ac:dyDescent="0.15">
      <c r="A30">
        <f t="shared" si="0"/>
        <v>20224306</v>
      </c>
      <c r="B30" t="str">
        <f t="shared" si="1"/>
        <v>F-0663</v>
      </c>
      <c r="C30" s="27">
        <v>97</v>
      </c>
      <c r="D30" t="str" cm="1">
        <f t="array" ref="D30">insertinto(A30:C30,$E$2:$F$4,"pr_Finals_Results")</f>
        <v>insert into pr_Finals_Results values ('20224306', 'F-0663', 97);</v>
      </c>
      <c r="H30">
        <v>28</v>
      </c>
    </row>
    <row r="31" spans="1:9" x14ac:dyDescent="0.15">
      <c r="A31">
        <f t="shared" si="0"/>
        <v>20224306</v>
      </c>
      <c r="B31" t="str">
        <f t="shared" si="1"/>
        <v>F-0740</v>
      </c>
      <c r="C31" s="27">
        <v>97</v>
      </c>
      <c r="D31" t="str" cm="1">
        <f t="array" ref="D31">insertinto(A31:C31,$E$2:$F$4,"pr_Finals_Results")</f>
        <v>insert into pr_Finals_Results values ('20224306', 'F-0740', 97);</v>
      </c>
      <c r="H31">
        <v>29</v>
      </c>
    </row>
    <row r="32" spans="1:9" x14ac:dyDescent="0.15">
      <c r="A32">
        <f t="shared" si="0"/>
        <v>20224306</v>
      </c>
      <c r="B32" t="str">
        <f t="shared" si="1"/>
        <v>F-0603</v>
      </c>
      <c r="C32" s="27">
        <v>87</v>
      </c>
      <c r="D32" t="str" cm="1">
        <f t="array" ref="D32">insertinto(A32:C32,$E$2:$F$4,"pr_Finals_Results")</f>
        <v>insert into pr_Finals_Results values ('20224306', 'F-0603', 87);</v>
      </c>
      <c r="H32">
        <v>30</v>
      </c>
    </row>
    <row r="33" spans="1:8" x14ac:dyDescent="0.15">
      <c r="A33">
        <f t="shared" si="0"/>
        <v>20224306</v>
      </c>
      <c r="B33" t="str">
        <f t="shared" si="1"/>
        <v>F-0428</v>
      </c>
      <c r="C33" s="27">
        <v>100</v>
      </c>
      <c r="D33" t="str" cm="1">
        <f t="array" ref="D33">insertinto(A33:C33,$E$2:$F$4,"pr_Finals_Results")</f>
        <v>insert into pr_Finals_Results values ('20224306', 'F-0428', 100);</v>
      </c>
      <c r="H33">
        <v>31</v>
      </c>
    </row>
    <row r="34" spans="1:8" x14ac:dyDescent="0.15">
      <c r="A34">
        <f t="shared" si="0"/>
        <v>20224306</v>
      </c>
      <c r="B34" t="str">
        <f t="shared" si="1"/>
        <v>F-0732</v>
      </c>
      <c r="C34" s="27">
        <v>80</v>
      </c>
      <c r="D34" t="str" cm="1">
        <f t="array" ref="D34">insertinto(A34:C34,$E$2:$F$4,"pr_Finals_Results")</f>
        <v>insert into pr_Finals_Results values ('20224306', 'F-0732', 80);</v>
      </c>
      <c r="H34">
        <v>32</v>
      </c>
    </row>
    <row r="35" spans="1:8" x14ac:dyDescent="0.15">
      <c r="A35">
        <f t="shared" si="0"/>
        <v>20220731</v>
      </c>
      <c r="B35" t="str">
        <f t="shared" si="1"/>
        <v>F-0287</v>
      </c>
      <c r="C35" s="27">
        <v>88</v>
      </c>
      <c r="D35" t="str" cm="1">
        <f t="array" ref="D35">insertinto(A35:C35,$E$2:$F$4,"pr_Finals_Results")</f>
        <v>insert into pr_Finals_Results values ('20220731', 'F-0287', 88);</v>
      </c>
      <c r="H35">
        <v>33</v>
      </c>
    </row>
    <row r="36" spans="1:8" x14ac:dyDescent="0.15">
      <c r="A36">
        <f t="shared" si="0"/>
        <v>20220731</v>
      </c>
      <c r="B36" t="str">
        <f t="shared" si="1"/>
        <v>F-0587</v>
      </c>
      <c r="C36" s="27">
        <v>84</v>
      </c>
      <c r="D36" t="str" cm="1">
        <f t="array" ref="D36">insertinto(A36:C36,$E$2:$F$4,"pr_Finals_Results")</f>
        <v>insert into pr_Finals_Results values ('20220731', 'F-0587', 84);</v>
      </c>
      <c r="H36">
        <v>34</v>
      </c>
    </row>
    <row r="37" spans="1:8" x14ac:dyDescent="0.15">
      <c r="A37">
        <f t="shared" si="0"/>
        <v>20220731</v>
      </c>
      <c r="B37" t="str">
        <f t="shared" si="1"/>
        <v>F-0443</v>
      </c>
      <c r="C37" s="27">
        <v>86</v>
      </c>
      <c r="D37" t="str" cm="1">
        <f t="array" ref="D37">insertinto(A37:C37,$E$2:$F$4,"pr_Finals_Results")</f>
        <v>insert into pr_Finals_Results values ('20220731', 'F-0443', 86);</v>
      </c>
      <c r="H37">
        <v>35</v>
      </c>
    </row>
    <row r="38" spans="1:8" x14ac:dyDescent="0.15">
      <c r="A38">
        <f t="shared" si="0"/>
        <v>20220731</v>
      </c>
      <c r="B38" t="str">
        <f t="shared" si="1"/>
        <v>F-0771</v>
      </c>
      <c r="C38" s="27">
        <v>91</v>
      </c>
      <c r="D38" t="str" cm="1">
        <f t="array" ref="D38">insertinto(A38:C38,$E$2:$F$4,"pr_Finals_Results")</f>
        <v>insert into pr_Finals_Results values ('20220731', 'F-0771', 91);</v>
      </c>
      <c r="H38">
        <v>36</v>
      </c>
    </row>
    <row r="39" spans="1:8" x14ac:dyDescent="0.15">
      <c r="A39">
        <f t="shared" si="0"/>
        <v>20220731</v>
      </c>
      <c r="B39" t="str">
        <f t="shared" si="1"/>
        <v>F-0080</v>
      </c>
      <c r="C39" s="27">
        <v>97</v>
      </c>
      <c r="D39" t="str" cm="1">
        <f t="array" ref="D39">insertinto(A39:C39,$E$2:$F$4,"pr_Finals_Results")</f>
        <v>insert into pr_Finals_Results values ('20220731', 'F-0080', 97);</v>
      </c>
      <c r="H39">
        <v>37</v>
      </c>
    </row>
    <row r="40" spans="1:8" x14ac:dyDescent="0.15">
      <c r="A40">
        <f t="shared" si="0"/>
        <v>20220731</v>
      </c>
      <c r="B40" t="str">
        <f t="shared" si="1"/>
        <v>F-0106</v>
      </c>
      <c r="C40" s="27">
        <v>91</v>
      </c>
      <c r="D40" t="str" cm="1">
        <f t="array" ref="D40">insertinto(A40:C40,$E$2:$F$4,"pr_Finals_Results")</f>
        <v>insert into pr_Finals_Results values ('20220731', 'F-0106', 91);</v>
      </c>
      <c r="H40">
        <v>38</v>
      </c>
    </row>
    <row r="41" spans="1:8" x14ac:dyDescent="0.15">
      <c r="A41">
        <f t="shared" si="0"/>
        <v>20220731</v>
      </c>
      <c r="B41" t="str">
        <f t="shared" si="1"/>
        <v>F-0663</v>
      </c>
      <c r="C41" s="27">
        <v>75</v>
      </c>
      <c r="D41" t="str" cm="1">
        <f t="array" ref="D41">insertinto(A41:C41,$E$2:$F$4,"pr_Finals_Results")</f>
        <v>insert into pr_Finals_Results values ('20220731', 'F-0663', 75);</v>
      </c>
      <c r="H41">
        <v>39</v>
      </c>
    </row>
    <row r="42" spans="1:8" x14ac:dyDescent="0.15">
      <c r="A42">
        <f t="shared" si="0"/>
        <v>20220731</v>
      </c>
      <c r="B42" t="str">
        <f t="shared" si="1"/>
        <v>F-0740</v>
      </c>
      <c r="C42" s="27">
        <v>76</v>
      </c>
      <c r="D42" t="str" cm="1">
        <f t="array" ref="D42">insertinto(A42:C42,$E$2:$F$4,"pr_Finals_Results")</f>
        <v>insert into pr_Finals_Results values ('20220731', 'F-0740', 76);</v>
      </c>
      <c r="H42">
        <v>40</v>
      </c>
    </row>
    <row r="43" spans="1:8" x14ac:dyDescent="0.15">
      <c r="A43">
        <f t="shared" si="0"/>
        <v>20220731</v>
      </c>
      <c r="B43" t="str">
        <f t="shared" si="1"/>
        <v>F-0603</v>
      </c>
      <c r="C43" s="27">
        <v>92</v>
      </c>
      <c r="D43" t="str" cm="1">
        <f t="array" ref="D43">insertinto(A43:C43,$E$2:$F$4,"pr_Finals_Results")</f>
        <v>insert into pr_Finals_Results values ('20220731', 'F-0603', 92);</v>
      </c>
      <c r="H43">
        <v>41</v>
      </c>
    </row>
    <row r="44" spans="1:8" x14ac:dyDescent="0.15">
      <c r="A44">
        <f t="shared" si="0"/>
        <v>20220731</v>
      </c>
      <c r="B44" t="str">
        <f t="shared" si="1"/>
        <v>F-0428</v>
      </c>
      <c r="C44" s="27">
        <v>82</v>
      </c>
      <c r="D44" t="str" cm="1">
        <f t="array" ref="D44">insertinto(A44:C44,$E$2:$F$4,"pr_Finals_Results")</f>
        <v>insert into pr_Finals_Results values ('20220731', 'F-0428', 82);</v>
      </c>
      <c r="H44">
        <v>42</v>
      </c>
    </row>
    <row r="45" spans="1:8" x14ac:dyDescent="0.15">
      <c r="A45">
        <f t="shared" si="0"/>
        <v>20220731</v>
      </c>
      <c r="B45" t="str">
        <f t="shared" si="1"/>
        <v>F-0732</v>
      </c>
      <c r="C45" s="27">
        <v>83</v>
      </c>
      <c r="D45" t="str" cm="1">
        <f t="array" ref="D45">insertinto(A45:C45,$E$2:$F$4,"pr_Finals_Results")</f>
        <v>insert into pr_Finals_Results values ('20220731', 'F-0732', 83);</v>
      </c>
      <c r="H45">
        <v>43</v>
      </c>
    </row>
    <row r="46" spans="1:8" x14ac:dyDescent="0.15">
      <c r="A46">
        <f t="shared" si="0"/>
        <v>20227092</v>
      </c>
      <c r="B46" t="str">
        <f t="shared" si="1"/>
        <v>F-0287</v>
      </c>
      <c r="C46" s="27">
        <v>85</v>
      </c>
      <c r="D46" t="str" cm="1">
        <f t="array" ref="D46">insertinto(A46:C46,$E$2:$F$4,"pr_Finals_Results")</f>
        <v>insert into pr_Finals_Results values ('20227092', 'F-0287', 85);</v>
      </c>
      <c r="H46">
        <v>44</v>
      </c>
    </row>
    <row r="47" spans="1:8" x14ac:dyDescent="0.15">
      <c r="A47">
        <f t="shared" si="0"/>
        <v>20227092</v>
      </c>
      <c r="B47" t="str">
        <f t="shared" si="1"/>
        <v>F-0587</v>
      </c>
      <c r="C47" s="27">
        <v>91</v>
      </c>
      <c r="D47" t="str" cm="1">
        <f t="array" ref="D47">insertinto(A47:C47,$E$2:$F$4,"pr_Finals_Results")</f>
        <v>insert into pr_Finals_Results values ('20227092', 'F-0587', 91);</v>
      </c>
      <c r="H47">
        <v>45</v>
      </c>
    </row>
    <row r="48" spans="1:8" x14ac:dyDescent="0.15">
      <c r="A48">
        <f t="shared" si="0"/>
        <v>20227092</v>
      </c>
      <c r="B48" t="str">
        <f t="shared" si="1"/>
        <v>F-0443</v>
      </c>
      <c r="C48" s="27">
        <v>98</v>
      </c>
      <c r="D48" t="str" cm="1">
        <f t="array" ref="D48">insertinto(A48:C48,$E$2:$F$4,"pr_Finals_Results")</f>
        <v>insert into pr_Finals_Results values ('20227092', 'F-0443', 98);</v>
      </c>
      <c r="H48">
        <v>46</v>
      </c>
    </row>
    <row r="49" spans="1:8" x14ac:dyDescent="0.15">
      <c r="A49">
        <f t="shared" si="0"/>
        <v>20227092</v>
      </c>
      <c r="B49" t="str">
        <f t="shared" si="1"/>
        <v>F-0771</v>
      </c>
      <c r="C49" s="27">
        <v>95</v>
      </c>
      <c r="D49" t="str" cm="1">
        <f t="array" ref="D49">insertinto(A49:C49,$E$2:$F$4,"pr_Finals_Results")</f>
        <v>insert into pr_Finals_Results values ('20227092', 'F-0771', 95);</v>
      </c>
      <c r="H49">
        <v>47</v>
      </c>
    </row>
    <row r="50" spans="1:8" x14ac:dyDescent="0.15">
      <c r="A50">
        <f t="shared" si="0"/>
        <v>20227092</v>
      </c>
      <c r="B50" t="str">
        <f t="shared" si="1"/>
        <v>F-0080</v>
      </c>
      <c r="C50" s="27">
        <v>93</v>
      </c>
      <c r="D50" t="str" cm="1">
        <f t="array" ref="D50">insertinto(A50:C50,$E$2:$F$4,"pr_Finals_Results")</f>
        <v>insert into pr_Finals_Results values ('20227092', 'F-0080', 93);</v>
      </c>
      <c r="H50">
        <v>48</v>
      </c>
    </row>
    <row r="51" spans="1:8" x14ac:dyDescent="0.15">
      <c r="A51">
        <f t="shared" si="0"/>
        <v>20227092</v>
      </c>
      <c r="B51" t="str">
        <f t="shared" si="1"/>
        <v>F-0106</v>
      </c>
      <c r="C51" s="27">
        <v>85</v>
      </c>
      <c r="D51" t="str" cm="1">
        <f t="array" ref="D51">insertinto(A51:C51,$E$2:$F$4,"pr_Finals_Results")</f>
        <v>insert into pr_Finals_Results values ('20227092', 'F-0106', 85);</v>
      </c>
      <c r="H51">
        <v>49</v>
      </c>
    </row>
    <row r="52" spans="1:8" x14ac:dyDescent="0.15">
      <c r="A52">
        <f t="shared" si="0"/>
        <v>20227092</v>
      </c>
      <c r="B52" t="str">
        <f t="shared" si="1"/>
        <v>F-0663</v>
      </c>
      <c r="C52" s="27">
        <v>75</v>
      </c>
      <c r="D52" t="str" cm="1">
        <f t="array" ref="D52">insertinto(A52:C52,$E$2:$F$4,"pr_Finals_Results")</f>
        <v>insert into pr_Finals_Results values ('20227092', 'F-0663', 75);</v>
      </c>
      <c r="H52">
        <v>50</v>
      </c>
    </row>
    <row r="53" spans="1:8" x14ac:dyDescent="0.15">
      <c r="A53">
        <f t="shared" si="0"/>
        <v>20227092</v>
      </c>
      <c r="B53" t="str">
        <f t="shared" si="1"/>
        <v>F-0740</v>
      </c>
      <c r="C53" s="27">
        <v>97</v>
      </c>
      <c r="D53" t="str" cm="1">
        <f t="array" ref="D53">insertinto(A53:C53,$E$2:$F$4,"pr_Finals_Results")</f>
        <v>insert into pr_Finals_Results values ('20227092', 'F-0740', 97);</v>
      </c>
      <c r="H53">
        <v>51</v>
      </c>
    </row>
    <row r="54" spans="1:8" x14ac:dyDescent="0.15">
      <c r="A54">
        <f t="shared" si="0"/>
        <v>20227092</v>
      </c>
      <c r="B54" t="str">
        <f t="shared" si="1"/>
        <v>F-0603</v>
      </c>
      <c r="C54" s="27">
        <v>82</v>
      </c>
      <c r="D54" t="str" cm="1">
        <f t="array" ref="D54">insertinto(A54:C54,$E$2:$F$4,"pr_Finals_Results")</f>
        <v>insert into pr_Finals_Results values ('20227092', 'F-0603', 82);</v>
      </c>
      <c r="H54">
        <v>52</v>
      </c>
    </row>
    <row r="55" spans="1:8" x14ac:dyDescent="0.15">
      <c r="A55">
        <f t="shared" si="0"/>
        <v>20227092</v>
      </c>
      <c r="B55" t="str">
        <f t="shared" si="1"/>
        <v>F-0428</v>
      </c>
      <c r="C55" s="27">
        <v>99</v>
      </c>
      <c r="D55" t="str" cm="1">
        <f t="array" ref="D55">insertinto(A55:C55,$E$2:$F$4,"pr_Finals_Results")</f>
        <v>insert into pr_Finals_Results values ('20227092', 'F-0428', 99);</v>
      </c>
      <c r="H55">
        <v>53</v>
      </c>
    </row>
    <row r="56" spans="1:8" x14ac:dyDescent="0.15">
      <c r="A56">
        <f t="shared" si="0"/>
        <v>20227092</v>
      </c>
      <c r="B56" t="str">
        <f t="shared" si="1"/>
        <v>F-0732</v>
      </c>
      <c r="C56" s="27">
        <v>85</v>
      </c>
      <c r="D56" t="str" cm="1">
        <f t="array" ref="D56">insertinto(A56:C56,$E$2:$F$4,"pr_Finals_Results")</f>
        <v>insert into pr_Finals_Results values ('20227092', 'F-0732', 85);</v>
      </c>
      <c r="H56">
        <v>54</v>
      </c>
    </row>
    <row r="57" spans="1:8" x14ac:dyDescent="0.15">
      <c r="A57">
        <f t="shared" si="0"/>
        <v>20226184</v>
      </c>
      <c r="B57" t="str">
        <f t="shared" si="1"/>
        <v>F-0287</v>
      </c>
      <c r="C57" s="27">
        <v>61</v>
      </c>
      <c r="D57" t="str" cm="1">
        <f t="array" ref="D57">insertinto(A57:C57,$E$2:$F$4,"pr_Finals_Results")</f>
        <v>insert into pr_Finals_Results values ('20226184', 'F-0287', 61);</v>
      </c>
      <c r="H57">
        <v>55</v>
      </c>
    </row>
    <row r="58" spans="1:8" x14ac:dyDescent="0.15">
      <c r="A58">
        <f t="shared" si="0"/>
        <v>20226184</v>
      </c>
      <c r="B58" t="str">
        <f t="shared" si="1"/>
        <v>F-0587</v>
      </c>
      <c r="C58" s="27">
        <v>76</v>
      </c>
      <c r="D58" t="str" cm="1">
        <f t="array" ref="D58">insertinto(A58:C58,$E$2:$F$4,"pr_Finals_Results")</f>
        <v>insert into pr_Finals_Results values ('20226184', 'F-0587', 76);</v>
      </c>
      <c r="H58">
        <v>56</v>
      </c>
    </row>
    <row r="59" spans="1:8" x14ac:dyDescent="0.15">
      <c r="A59">
        <f t="shared" si="0"/>
        <v>20226184</v>
      </c>
      <c r="B59" t="str">
        <f t="shared" si="1"/>
        <v>F-0443</v>
      </c>
      <c r="C59" s="27">
        <v>56</v>
      </c>
      <c r="D59" t="str" cm="1">
        <f t="array" ref="D59">insertinto(A59:C59,$E$2:$F$4,"pr_Finals_Results")</f>
        <v>insert into pr_Finals_Results values ('20226184', 'F-0443', 56);</v>
      </c>
      <c r="H59">
        <v>57</v>
      </c>
    </row>
    <row r="60" spans="1:8" x14ac:dyDescent="0.15">
      <c r="A60">
        <f t="shared" si="0"/>
        <v>20226184</v>
      </c>
      <c r="B60" t="str">
        <f t="shared" si="1"/>
        <v>F-0771</v>
      </c>
      <c r="C60" s="27">
        <v>28</v>
      </c>
      <c r="D60" t="str" cm="1">
        <f t="array" ref="D60">insertinto(A60:C60,$E$2:$F$4,"pr_Finals_Results")</f>
        <v>insert into pr_Finals_Results values ('20226184', 'F-0771', 28);</v>
      </c>
      <c r="H60">
        <v>58</v>
      </c>
    </row>
    <row r="61" spans="1:8" x14ac:dyDescent="0.15">
      <c r="A61">
        <f t="shared" si="0"/>
        <v>20226184</v>
      </c>
      <c r="B61" t="str">
        <f t="shared" si="1"/>
        <v>F-0080</v>
      </c>
      <c r="C61" s="27">
        <v>39</v>
      </c>
      <c r="D61" t="str" cm="1">
        <f t="array" ref="D61">insertinto(A61:C61,$E$2:$F$4,"pr_Finals_Results")</f>
        <v>insert into pr_Finals_Results values ('20226184', 'F-0080', 39);</v>
      </c>
      <c r="H61">
        <v>59</v>
      </c>
    </row>
    <row r="62" spans="1:8" x14ac:dyDescent="0.15">
      <c r="A62">
        <f t="shared" si="0"/>
        <v>20226184</v>
      </c>
      <c r="B62" t="str">
        <f t="shared" si="1"/>
        <v>F-0106</v>
      </c>
      <c r="C62" s="27">
        <v>91</v>
      </c>
      <c r="D62" t="str" cm="1">
        <f t="array" ref="D62">insertinto(A62:C62,$E$2:$F$4,"pr_Finals_Results")</f>
        <v>insert into pr_Finals_Results values ('20226184', 'F-0106', 91);</v>
      </c>
      <c r="H62">
        <v>60</v>
      </c>
    </row>
    <row r="63" spans="1:8" x14ac:dyDescent="0.15">
      <c r="A63">
        <f t="shared" si="0"/>
        <v>20226184</v>
      </c>
      <c r="B63" t="str">
        <f t="shared" si="1"/>
        <v>F-0663</v>
      </c>
      <c r="C63" s="27">
        <v>34</v>
      </c>
      <c r="D63" t="str" cm="1">
        <f t="array" ref="D63">insertinto(A63:C63,$E$2:$F$4,"pr_Finals_Results")</f>
        <v>insert into pr_Finals_Results values ('20226184', 'F-0663', 34);</v>
      </c>
      <c r="H63">
        <v>61</v>
      </c>
    </row>
    <row r="64" spans="1:8" x14ac:dyDescent="0.15">
      <c r="A64">
        <f t="shared" si="0"/>
        <v>20226184</v>
      </c>
      <c r="B64" t="str">
        <f t="shared" si="1"/>
        <v>F-0740</v>
      </c>
      <c r="C64" s="27">
        <v>97</v>
      </c>
      <c r="D64" t="str" cm="1">
        <f t="array" ref="D64">insertinto(A64:C64,$E$2:$F$4,"pr_Finals_Results")</f>
        <v>insert into pr_Finals_Results values ('20226184', 'F-0740', 97);</v>
      </c>
      <c r="H64">
        <v>62</v>
      </c>
    </row>
    <row r="65" spans="1:8" x14ac:dyDescent="0.15">
      <c r="A65">
        <f t="shared" si="0"/>
        <v>20226184</v>
      </c>
      <c r="B65" t="str">
        <f t="shared" si="1"/>
        <v>F-0603</v>
      </c>
      <c r="C65" s="27">
        <v>65</v>
      </c>
      <c r="D65" t="str" cm="1">
        <f t="array" ref="D65">insertinto(A65:C65,$E$2:$F$4,"pr_Finals_Results")</f>
        <v>insert into pr_Finals_Results values ('20226184', 'F-0603', 65);</v>
      </c>
      <c r="H65">
        <v>63</v>
      </c>
    </row>
    <row r="66" spans="1:8" x14ac:dyDescent="0.15">
      <c r="A66">
        <f t="shared" ref="A66:A129" si="2">INDEX($I$2:$I$51,INT(H66/11)+1)</f>
        <v>20226184</v>
      </c>
      <c r="B66" t="str">
        <f t="shared" ref="B66:B129" si="3">INDEX($J$2:$J$12,MOD(H66,11)+1)</f>
        <v>F-0428</v>
      </c>
      <c r="C66" s="27">
        <v>37</v>
      </c>
      <c r="D66" t="str" cm="1">
        <f t="array" ref="D66">insertinto(A66:C66,$E$2:$F$4,"pr_Finals_Results")</f>
        <v>insert into pr_Finals_Results values ('20226184', 'F-0428', 37);</v>
      </c>
      <c r="H66">
        <v>64</v>
      </c>
    </row>
    <row r="67" spans="1:8" x14ac:dyDescent="0.15">
      <c r="A67">
        <f t="shared" si="2"/>
        <v>20226184</v>
      </c>
      <c r="B67" t="str">
        <f t="shared" si="3"/>
        <v>F-0732</v>
      </c>
      <c r="C67" s="27">
        <v>36</v>
      </c>
      <c r="D67" t="str" cm="1">
        <f t="array" ref="D67">insertinto(A67:C67,$E$2:$F$4,"pr_Finals_Results")</f>
        <v>insert into pr_Finals_Results values ('20226184', 'F-0732', 36);</v>
      </c>
      <c r="H67">
        <v>65</v>
      </c>
    </row>
    <row r="68" spans="1:8" x14ac:dyDescent="0.15">
      <c r="A68">
        <f t="shared" si="2"/>
        <v>20229558</v>
      </c>
      <c r="B68" t="str">
        <f t="shared" si="3"/>
        <v>F-0287</v>
      </c>
      <c r="C68" s="27">
        <v>79</v>
      </c>
      <c r="D68" t="str" cm="1">
        <f t="array" ref="D68">insertinto(A68:C68,$E$2:$F$4,"pr_Finals_Results")</f>
        <v>insert into pr_Finals_Results values ('20229558', 'F-0287', 79);</v>
      </c>
      <c r="H68">
        <v>66</v>
      </c>
    </row>
    <row r="69" spans="1:8" x14ac:dyDescent="0.15">
      <c r="A69">
        <f t="shared" si="2"/>
        <v>20229558</v>
      </c>
      <c r="B69" t="str">
        <f t="shared" si="3"/>
        <v>F-0587</v>
      </c>
      <c r="C69" s="27">
        <v>2</v>
      </c>
      <c r="D69" t="str" cm="1">
        <f t="array" ref="D69">insertinto(A69:C69,$E$2:$F$4,"pr_Finals_Results")</f>
        <v>insert into pr_Finals_Results values ('20229558', 'F-0587', 2);</v>
      </c>
      <c r="H69">
        <v>67</v>
      </c>
    </row>
    <row r="70" spans="1:8" x14ac:dyDescent="0.15">
      <c r="A70">
        <f t="shared" si="2"/>
        <v>20229558</v>
      </c>
      <c r="B70" t="str">
        <f t="shared" si="3"/>
        <v>F-0443</v>
      </c>
      <c r="C70" s="27">
        <v>2</v>
      </c>
      <c r="D70" t="str" cm="1">
        <f t="array" ref="D70">insertinto(A70:C70,$E$2:$F$4,"pr_Finals_Results")</f>
        <v>insert into pr_Finals_Results values ('20229558', 'F-0443', 2);</v>
      </c>
      <c r="H70">
        <v>68</v>
      </c>
    </row>
    <row r="71" spans="1:8" x14ac:dyDescent="0.15">
      <c r="A71">
        <f t="shared" si="2"/>
        <v>20229558</v>
      </c>
      <c r="B71" t="str">
        <f t="shared" si="3"/>
        <v>F-0771</v>
      </c>
      <c r="C71" s="27">
        <v>49</v>
      </c>
      <c r="D71" t="str" cm="1">
        <f t="array" ref="D71">insertinto(A71:C71,$E$2:$F$4,"pr_Finals_Results")</f>
        <v>insert into pr_Finals_Results values ('20229558', 'F-0771', 49);</v>
      </c>
      <c r="H71">
        <v>69</v>
      </c>
    </row>
    <row r="72" spans="1:8" x14ac:dyDescent="0.15">
      <c r="A72">
        <f t="shared" si="2"/>
        <v>20229558</v>
      </c>
      <c r="B72" t="str">
        <f t="shared" si="3"/>
        <v>F-0080</v>
      </c>
      <c r="C72" s="27">
        <v>83</v>
      </c>
      <c r="D72" t="str" cm="1">
        <f t="array" ref="D72">insertinto(A72:C72,$E$2:$F$4,"pr_Finals_Results")</f>
        <v>insert into pr_Finals_Results values ('20229558', 'F-0080', 83);</v>
      </c>
      <c r="H72">
        <v>70</v>
      </c>
    </row>
    <row r="73" spans="1:8" x14ac:dyDescent="0.15">
      <c r="A73">
        <f t="shared" si="2"/>
        <v>20229558</v>
      </c>
      <c r="B73" t="str">
        <f t="shared" si="3"/>
        <v>F-0106</v>
      </c>
      <c r="C73" s="27">
        <v>5</v>
      </c>
      <c r="D73" t="str" cm="1">
        <f t="array" ref="D73">insertinto(A73:C73,$E$2:$F$4,"pr_Finals_Results")</f>
        <v>insert into pr_Finals_Results values ('20229558', 'F-0106', 5);</v>
      </c>
      <c r="H73">
        <v>71</v>
      </c>
    </row>
    <row r="74" spans="1:8" x14ac:dyDescent="0.15">
      <c r="A74">
        <f t="shared" si="2"/>
        <v>20229558</v>
      </c>
      <c r="B74" t="str">
        <f t="shared" si="3"/>
        <v>F-0663</v>
      </c>
      <c r="C74" s="27">
        <v>89</v>
      </c>
      <c r="D74" t="str" cm="1">
        <f t="array" ref="D74">insertinto(A74:C74,$E$2:$F$4,"pr_Finals_Results")</f>
        <v>insert into pr_Finals_Results values ('20229558', 'F-0663', 89);</v>
      </c>
      <c r="H74">
        <v>72</v>
      </c>
    </row>
    <row r="75" spans="1:8" x14ac:dyDescent="0.15">
      <c r="A75">
        <f t="shared" si="2"/>
        <v>20229558</v>
      </c>
      <c r="B75" t="str">
        <f t="shared" si="3"/>
        <v>F-0740</v>
      </c>
      <c r="C75" s="27">
        <v>83</v>
      </c>
      <c r="D75" t="str" cm="1">
        <f t="array" ref="D75">insertinto(A75:C75,$E$2:$F$4,"pr_Finals_Results")</f>
        <v>insert into pr_Finals_Results values ('20229558', 'F-0740', 83);</v>
      </c>
      <c r="H75">
        <v>73</v>
      </c>
    </row>
    <row r="76" spans="1:8" x14ac:dyDescent="0.15">
      <c r="A76">
        <f t="shared" si="2"/>
        <v>20229558</v>
      </c>
      <c r="B76" t="str">
        <f t="shared" si="3"/>
        <v>F-0603</v>
      </c>
      <c r="C76" s="27">
        <v>25</v>
      </c>
      <c r="D76" t="str" cm="1">
        <f t="array" ref="D76">insertinto(A76:C76,$E$2:$F$4,"pr_Finals_Results")</f>
        <v>insert into pr_Finals_Results values ('20229558', 'F-0603', 25);</v>
      </c>
      <c r="H76">
        <v>74</v>
      </c>
    </row>
    <row r="77" spans="1:8" x14ac:dyDescent="0.15">
      <c r="A77">
        <f t="shared" si="2"/>
        <v>20229558</v>
      </c>
      <c r="B77" t="str">
        <f t="shared" si="3"/>
        <v>F-0428</v>
      </c>
      <c r="C77" s="27">
        <v>10</v>
      </c>
      <c r="D77" t="str" cm="1">
        <f t="array" ref="D77">insertinto(A77:C77,$E$2:$F$4,"pr_Finals_Results")</f>
        <v>insert into pr_Finals_Results values ('20229558', 'F-0428', 10);</v>
      </c>
      <c r="H77">
        <v>75</v>
      </c>
    </row>
    <row r="78" spans="1:8" x14ac:dyDescent="0.15">
      <c r="A78">
        <f t="shared" si="2"/>
        <v>20229558</v>
      </c>
      <c r="B78" t="str">
        <f t="shared" si="3"/>
        <v>F-0732</v>
      </c>
      <c r="C78" s="27">
        <v>23</v>
      </c>
      <c r="D78" t="str" cm="1">
        <f t="array" ref="D78">insertinto(A78:C78,$E$2:$F$4,"pr_Finals_Results")</f>
        <v>insert into pr_Finals_Results values ('20229558', 'F-0732', 23);</v>
      </c>
      <c r="H78">
        <v>76</v>
      </c>
    </row>
    <row r="79" spans="1:8" x14ac:dyDescent="0.15">
      <c r="A79">
        <f t="shared" si="2"/>
        <v>20228839</v>
      </c>
      <c r="B79" t="str">
        <f t="shared" si="3"/>
        <v>F-0287</v>
      </c>
      <c r="C79" s="27">
        <v>60</v>
      </c>
      <c r="D79" t="str" cm="1">
        <f t="array" ref="D79">insertinto(A79:C79,$E$2:$F$4,"pr_Finals_Results")</f>
        <v>insert into pr_Finals_Results values ('20228839', 'F-0287', 60);</v>
      </c>
      <c r="H79">
        <v>77</v>
      </c>
    </row>
    <row r="80" spans="1:8" x14ac:dyDescent="0.15">
      <c r="A80">
        <f t="shared" si="2"/>
        <v>20228839</v>
      </c>
      <c r="B80" t="str">
        <f t="shared" si="3"/>
        <v>F-0587</v>
      </c>
      <c r="C80" s="27">
        <v>28</v>
      </c>
      <c r="D80" t="str" cm="1">
        <f t="array" ref="D80">insertinto(A80:C80,$E$2:$F$4,"pr_Finals_Results")</f>
        <v>insert into pr_Finals_Results values ('20228839', 'F-0587', 28);</v>
      </c>
      <c r="H80">
        <v>78</v>
      </c>
    </row>
    <row r="81" spans="1:8" x14ac:dyDescent="0.15">
      <c r="A81">
        <f t="shared" si="2"/>
        <v>20228839</v>
      </c>
      <c r="B81" t="str">
        <f t="shared" si="3"/>
        <v>F-0443</v>
      </c>
      <c r="C81" s="27">
        <v>27</v>
      </c>
      <c r="D81" t="str" cm="1">
        <f t="array" ref="D81">insertinto(A81:C81,$E$2:$F$4,"pr_Finals_Results")</f>
        <v>insert into pr_Finals_Results values ('20228839', 'F-0443', 27);</v>
      </c>
      <c r="H81">
        <v>79</v>
      </c>
    </row>
    <row r="82" spans="1:8" x14ac:dyDescent="0.15">
      <c r="A82">
        <f t="shared" si="2"/>
        <v>20228839</v>
      </c>
      <c r="B82" t="str">
        <f t="shared" si="3"/>
        <v>F-0771</v>
      </c>
      <c r="C82" s="27">
        <v>33</v>
      </c>
      <c r="D82" t="str" cm="1">
        <f t="array" ref="D82">insertinto(A82:C82,$E$2:$F$4,"pr_Finals_Results")</f>
        <v>insert into pr_Finals_Results values ('20228839', 'F-0771', 33);</v>
      </c>
      <c r="H82">
        <v>80</v>
      </c>
    </row>
    <row r="83" spans="1:8" x14ac:dyDescent="0.15">
      <c r="A83">
        <f t="shared" si="2"/>
        <v>20228839</v>
      </c>
      <c r="B83" t="str">
        <f t="shared" si="3"/>
        <v>F-0080</v>
      </c>
      <c r="C83" s="27">
        <v>54</v>
      </c>
      <c r="D83" t="str" cm="1">
        <f t="array" ref="D83">insertinto(A83:C83,$E$2:$F$4,"pr_Finals_Results")</f>
        <v>insert into pr_Finals_Results values ('20228839', 'F-0080', 54);</v>
      </c>
      <c r="H83">
        <v>81</v>
      </c>
    </row>
    <row r="84" spans="1:8" x14ac:dyDescent="0.15">
      <c r="A84">
        <f t="shared" si="2"/>
        <v>20228839</v>
      </c>
      <c r="B84" t="str">
        <f t="shared" si="3"/>
        <v>F-0106</v>
      </c>
      <c r="C84" s="27">
        <v>86</v>
      </c>
      <c r="D84" t="str" cm="1">
        <f t="array" ref="D84">insertinto(A84:C84,$E$2:$F$4,"pr_Finals_Results")</f>
        <v>insert into pr_Finals_Results values ('20228839', 'F-0106', 86);</v>
      </c>
      <c r="H84">
        <v>82</v>
      </c>
    </row>
    <row r="85" spans="1:8" x14ac:dyDescent="0.15">
      <c r="A85">
        <f t="shared" si="2"/>
        <v>20228839</v>
      </c>
      <c r="B85" t="str">
        <f t="shared" si="3"/>
        <v>F-0663</v>
      </c>
      <c r="C85" s="27">
        <v>80</v>
      </c>
      <c r="D85" t="str" cm="1">
        <f t="array" ref="D85">insertinto(A85:C85,$E$2:$F$4,"pr_Finals_Results")</f>
        <v>insert into pr_Finals_Results values ('20228839', 'F-0663', 80);</v>
      </c>
      <c r="H85">
        <v>83</v>
      </c>
    </row>
    <row r="86" spans="1:8" x14ac:dyDescent="0.15">
      <c r="A86">
        <f t="shared" si="2"/>
        <v>20228839</v>
      </c>
      <c r="B86" t="str">
        <f t="shared" si="3"/>
        <v>F-0740</v>
      </c>
      <c r="C86" s="27">
        <v>25</v>
      </c>
      <c r="D86" t="str" cm="1">
        <f t="array" ref="D86">insertinto(A86:C86,$E$2:$F$4,"pr_Finals_Results")</f>
        <v>insert into pr_Finals_Results values ('20228839', 'F-0740', 25);</v>
      </c>
      <c r="H86">
        <v>84</v>
      </c>
    </row>
    <row r="87" spans="1:8" x14ac:dyDescent="0.15">
      <c r="A87">
        <f t="shared" si="2"/>
        <v>20228839</v>
      </c>
      <c r="B87" t="str">
        <f t="shared" si="3"/>
        <v>F-0603</v>
      </c>
      <c r="C87" s="27">
        <v>2</v>
      </c>
      <c r="D87" t="str" cm="1">
        <f t="array" ref="D87">insertinto(A87:C87,$E$2:$F$4,"pr_Finals_Results")</f>
        <v>insert into pr_Finals_Results values ('20228839', 'F-0603', 2);</v>
      </c>
      <c r="H87">
        <v>85</v>
      </c>
    </row>
    <row r="88" spans="1:8" x14ac:dyDescent="0.15">
      <c r="A88">
        <f t="shared" si="2"/>
        <v>20228839</v>
      </c>
      <c r="B88" t="str">
        <f t="shared" si="3"/>
        <v>F-0428</v>
      </c>
      <c r="C88" s="27">
        <v>100</v>
      </c>
      <c r="D88" t="str" cm="1">
        <f t="array" ref="D88">insertinto(A88:C88,$E$2:$F$4,"pr_Finals_Results")</f>
        <v>insert into pr_Finals_Results values ('20228839', 'F-0428', 100);</v>
      </c>
      <c r="H88">
        <v>86</v>
      </c>
    </row>
    <row r="89" spans="1:8" x14ac:dyDescent="0.15">
      <c r="A89">
        <f t="shared" si="2"/>
        <v>20228839</v>
      </c>
      <c r="B89" t="str">
        <f t="shared" si="3"/>
        <v>F-0732</v>
      </c>
      <c r="C89" s="27">
        <v>37</v>
      </c>
      <c r="D89" t="str" cm="1">
        <f t="array" ref="D89">insertinto(A89:C89,$E$2:$F$4,"pr_Finals_Results")</f>
        <v>insert into pr_Finals_Results values ('20228839', 'F-0732', 37);</v>
      </c>
      <c r="H89">
        <v>87</v>
      </c>
    </row>
    <row r="90" spans="1:8" x14ac:dyDescent="0.15">
      <c r="A90">
        <f t="shared" si="2"/>
        <v>20227541</v>
      </c>
      <c r="B90" t="str">
        <f t="shared" si="3"/>
        <v>F-0287</v>
      </c>
      <c r="C90" s="27">
        <v>93</v>
      </c>
      <c r="D90" t="str" cm="1">
        <f t="array" ref="D90">insertinto(A90:C90,$E$2:$F$4,"pr_Finals_Results")</f>
        <v>insert into pr_Finals_Results values ('20227541', 'F-0287', 93);</v>
      </c>
      <c r="H90">
        <v>88</v>
      </c>
    </row>
    <row r="91" spans="1:8" x14ac:dyDescent="0.15">
      <c r="A91">
        <f t="shared" si="2"/>
        <v>20227541</v>
      </c>
      <c r="B91" t="str">
        <f t="shared" si="3"/>
        <v>F-0587</v>
      </c>
      <c r="C91" s="27">
        <v>55</v>
      </c>
      <c r="D91" t="str" cm="1">
        <f t="array" ref="D91">insertinto(A91:C91,$E$2:$F$4,"pr_Finals_Results")</f>
        <v>insert into pr_Finals_Results values ('20227541', 'F-0587', 55);</v>
      </c>
      <c r="H91">
        <v>89</v>
      </c>
    </row>
    <row r="92" spans="1:8" x14ac:dyDescent="0.15">
      <c r="A92">
        <f t="shared" si="2"/>
        <v>20227541</v>
      </c>
      <c r="B92" t="str">
        <f t="shared" si="3"/>
        <v>F-0443</v>
      </c>
      <c r="C92" s="27">
        <v>40</v>
      </c>
      <c r="D92" t="str" cm="1">
        <f t="array" ref="D92">insertinto(A92:C92,$E$2:$F$4,"pr_Finals_Results")</f>
        <v>insert into pr_Finals_Results values ('20227541', 'F-0443', 40);</v>
      </c>
      <c r="H92">
        <v>90</v>
      </c>
    </row>
    <row r="93" spans="1:8" x14ac:dyDescent="0.15">
      <c r="A93">
        <f t="shared" si="2"/>
        <v>20227541</v>
      </c>
      <c r="B93" t="str">
        <f t="shared" si="3"/>
        <v>F-0771</v>
      </c>
      <c r="C93" s="27">
        <v>49</v>
      </c>
      <c r="D93" t="str" cm="1">
        <f t="array" ref="D93">insertinto(A93:C93,$E$2:$F$4,"pr_Finals_Results")</f>
        <v>insert into pr_Finals_Results values ('20227541', 'F-0771', 49);</v>
      </c>
      <c r="H93">
        <v>91</v>
      </c>
    </row>
    <row r="94" spans="1:8" x14ac:dyDescent="0.15">
      <c r="A94">
        <f t="shared" si="2"/>
        <v>20227541</v>
      </c>
      <c r="B94" t="str">
        <f t="shared" si="3"/>
        <v>F-0080</v>
      </c>
      <c r="C94" s="27">
        <v>69</v>
      </c>
      <c r="D94" t="str" cm="1">
        <f t="array" ref="D94">insertinto(A94:C94,$E$2:$F$4,"pr_Finals_Results")</f>
        <v>insert into pr_Finals_Results values ('20227541', 'F-0080', 69);</v>
      </c>
      <c r="H94">
        <v>92</v>
      </c>
    </row>
    <row r="95" spans="1:8" x14ac:dyDescent="0.15">
      <c r="A95">
        <f t="shared" si="2"/>
        <v>20227541</v>
      </c>
      <c r="B95" t="str">
        <f t="shared" si="3"/>
        <v>F-0106</v>
      </c>
      <c r="C95" s="27">
        <v>65</v>
      </c>
      <c r="D95" t="str" cm="1">
        <f t="array" ref="D95">insertinto(A95:C95,$E$2:$F$4,"pr_Finals_Results")</f>
        <v>insert into pr_Finals_Results values ('20227541', 'F-0106', 65);</v>
      </c>
      <c r="H95">
        <v>93</v>
      </c>
    </row>
    <row r="96" spans="1:8" x14ac:dyDescent="0.15">
      <c r="A96">
        <f t="shared" si="2"/>
        <v>20227541</v>
      </c>
      <c r="B96" t="str">
        <f t="shared" si="3"/>
        <v>F-0663</v>
      </c>
      <c r="C96" s="27">
        <v>45</v>
      </c>
      <c r="D96" t="str" cm="1">
        <f t="array" ref="D96">insertinto(A96:C96,$E$2:$F$4,"pr_Finals_Results")</f>
        <v>insert into pr_Finals_Results values ('20227541', 'F-0663', 45);</v>
      </c>
      <c r="H96">
        <v>94</v>
      </c>
    </row>
    <row r="97" spans="1:8" x14ac:dyDescent="0.15">
      <c r="A97">
        <f t="shared" si="2"/>
        <v>20227541</v>
      </c>
      <c r="B97" t="str">
        <f t="shared" si="3"/>
        <v>F-0740</v>
      </c>
      <c r="C97" s="27">
        <v>46</v>
      </c>
      <c r="D97" t="str" cm="1">
        <f t="array" ref="D97">insertinto(A97:C97,$E$2:$F$4,"pr_Finals_Results")</f>
        <v>insert into pr_Finals_Results values ('20227541', 'F-0740', 46);</v>
      </c>
      <c r="H97">
        <v>95</v>
      </c>
    </row>
    <row r="98" spans="1:8" x14ac:dyDescent="0.15">
      <c r="A98">
        <f t="shared" si="2"/>
        <v>20227541</v>
      </c>
      <c r="B98" t="str">
        <f t="shared" si="3"/>
        <v>F-0603</v>
      </c>
      <c r="C98" s="27">
        <v>45</v>
      </c>
      <c r="D98" t="str" cm="1">
        <f t="array" ref="D98">insertinto(A98:C98,$E$2:$F$4,"pr_Finals_Results")</f>
        <v>insert into pr_Finals_Results values ('20227541', 'F-0603', 45);</v>
      </c>
      <c r="H98">
        <v>96</v>
      </c>
    </row>
    <row r="99" spans="1:8" x14ac:dyDescent="0.15">
      <c r="A99">
        <f t="shared" si="2"/>
        <v>20227541</v>
      </c>
      <c r="B99" t="str">
        <f t="shared" si="3"/>
        <v>F-0428</v>
      </c>
      <c r="C99" s="27">
        <v>8</v>
      </c>
      <c r="D99" t="str" cm="1">
        <f t="array" ref="D99">insertinto(A99:C99,$E$2:$F$4,"pr_Finals_Results")</f>
        <v>insert into pr_Finals_Results values ('20227541', 'F-0428', 8);</v>
      </c>
      <c r="H99">
        <v>97</v>
      </c>
    </row>
    <row r="100" spans="1:8" x14ac:dyDescent="0.15">
      <c r="A100">
        <f t="shared" si="2"/>
        <v>20227541</v>
      </c>
      <c r="B100" t="str">
        <f t="shared" si="3"/>
        <v>F-0732</v>
      </c>
      <c r="C100" s="27">
        <v>23</v>
      </c>
      <c r="D100" t="str" cm="1">
        <f t="array" ref="D100">insertinto(A100:C100,$E$2:$F$4,"pr_Finals_Results")</f>
        <v>insert into pr_Finals_Results values ('20227541', 'F-0732', 23);</v>
      </c>
      <c r="H100">
        <v>98</v>
      </c>
    </row>
    <row r="101" spans="1:8" x14ac:dyDescent="0.15">
      <c r="A101">
        <f t="shared" si="2"/>
        <v>20227466</v>
      </c>
      <c r="B101" t="str">
        <f t="shared" si="3"/>
        <v>F-0287</v>
      </c>
      <c r="C101" s="27">
        <v>91</v>
      </c>
      <c r="D101" t="str" cm="1">
        <f t="array" ref="D101">insertinto(A101:C101,$E$2:$F$4,"pr_Finals_Results")</f>
        <v>insert into pr_Finals_Results values ('20227466', 'F-0287', 91);</v>
      </c>
      <c r="H101">
        <v>99</v>
      </c>
    </row>
    <row r="102" spans="1:8" x14ac:dyDescent="0.15">
      <c r="A102">
        <f t="shared" si="2"/>
        <v>20227466</v>
      </c>
      <c r="B102" t="str">
        <f t="shared" si="3"/>
        <v>F-0587</v>
      </c>
      <c r="C102" s="27">
        <v>66</v>
      </c>
      <c r="D102" t="str" cm="1">
        <f t="array" ref="D102">insertinto(A102:C102,$E$2:$F$4,"pr_Finals_Results")</f>
        <v>insert into pr_Finals_Results values ('20227466', 'F-0587', 66);</v>
      </c>
      <c r="H102">
        <v>100</v>
      </c>
    </row>
    <row r="103" spans="1:8" x14ac:dyDescent="0.15">
      <c r="A103">
        <f t="shared" si="2"/>
        <v>20227466</v>
      </c>
      <c r="B103" t="str">
        <f t="shared" si="3"/>
        <v>F-0443</v>
      </c>
      <c r="C103" s="27">
        <v>72</v>
      </c>
      <c r="D103" t="str" cm="1">
        <f t="array" ref="D103">insertinto(A103:C103,$E$2:$F$4,"pr_Finals_Results")</f>
        <v>insert into pr_Finals_Results values ('20227466', 'F-0443', 72);</v>
      </c>
      <c r="H103">
        <v>101</v>
      </c>
    </row>
    <row r="104" spans="1:8" x14ac:dyDescent="0.15">
      <c r="A104">
        <f t="shared" si="2"/>
        <v>20227466</v>
      </c>
      <c r="B104" t="str">
        <f t="shared" si="3"/>
        <v>F-0771</v>
      </c>
      <c r="C104" s="27">
        <v>74</v>
      </c>
      <c r="D104" t="str" cm="1">
        <f t="array" ref="D104">insertinto(A104:C104,$E$2:$F$4,"pr_Finals_Results")</f>
        <v>insert into pr_Finals_Results values ('20227466', 'F-0771', 74);</v>
      </c>
      <c r="H104">
        <v>102</v>
      </c>
    </row>
    <row r="105" spans="1:8" x14ac:dyDescent="0.15">
      <c r="A105">
        <f t="shared" si="2"/>
        <v>20227466</v>
      </c>
      <c r="B105" t="str">
        <f t="shared" si="3"/>
        <v>F-0080</v>
      </c>
      <c r="C105" s="27">
        <v>77</v>
      </c>
      <c r="D105" t="str" cm="1">
        <f t="array" ref="D105">insertinto(A105:C105,$E$2:$F$4,"pr_Finals_Results")</f>
        <v>insert into pr_Finals_Results values ('20227466', 'F-0080', 77);</v>
      </c>
      <c r="H105">
        <v>103</v>
      </c>
    </row>
    <row r="106" spans="1:8" x14ac:dyDescent="0.15">
      <c r="A106">
        <f t="shared" si="2"/>
        <v>20227466</v>
      </c>
      <c r="B106" t="str">
        <f t="shared" si="3"/>
        <v>F-0106</v>
      </c>
      <c r="C106" s="27">
        <v>69</v>
      </c>
      <c r="D106" t="str" cm="1">
        <f t="array" ref="D106">insertinto(A106:C106,$E$2:$F$4,"pr_Finals_Results")</f>
        <v>insert into pr_Finals_Results values ('20227466', 'F-0106', 69);</v>
      </c>
      <c r="H106">
        <v>104</v>
      </c>
    </row>
    <row r="107" spans="1:8" x14ac:dyDescent="0.15">
      <c r="A107">
        <f t="shared" si="2"/>
        <v>20227466</v>
      </c>
      <c r="B107" t="str">
        <f t="shared" si="3"/>
        <v>F-0663</v>
      </c>
      <c r="C107" s="27">
        <v>47</v>
      </c>
      <c r="D107" t="str" cm="1">
        <f t="array" ref="D107">insertinto(A107:C107,$E$2:$F$4,"pr_Finals_Results")</f>
        <v>insert into pr_Finals_Results values ('20227466', 'F-0663', 47);</v>
      </c>
      <c r="H107">
        <v>105</v>
      </c>
    </row>
    <row r="108" spans="1:8" x14ac:dyDescent="0.15">
      <c r="A108">
        <f t="shared" si="2"/>
        <v>20227466</v>
      </c>
      <c r="B108" t="str">
        <f t="shared" si="3"/>
        <v>F-0740</v>
      </c>
      <c r="C108" s="27">
        <v>94</v>
      </c>
      <c r="D108" t="str" cm="1">
        <f t="array" ref="D108">insertinto(A108:C108,$E$2:$F$4,"pr_Finals_Results")</f>
        <v>insert into pr_Finals_Results values ('20227466', 'F-0740', 94);</v>
      </c>
      <c r="H108">
        <v>106</v>
      </c>
    </row>
    <row r="109" spans="1:8" x14ac:dyDescent="0.15">
      <c r="A109">
        <f t="shared" si="2"/>
        <v>20227466</v>
      </c>
      <c r="B109" t="str">
        <f t="shared" si="3"/>
        <v>F-0603</v>
      </c>
      <c r="C109" s="27">
        <v>61</v>
      </c>
      <c r="D109" t="str" cm="1">
        <f t="array" ref="D109">insertinto(A109:C109,$E$2:$F$4,"pr_Finals_Results")</f>
        <v>insert into pr_Finals_Results values ('20227466', 'F-0603', 61);</v>
      </c>
      <c r="H109">
        <v>107</v>
      </c>
    </row>
    <row r="110" spans="1:8" x14ac:dyDescent="0.15">
      <c r="A110">
        <f t="shared" si="2"/>
        <v>20227466</v>
      </c>
      <c r="B110" t="str">
        <f t="shared" si="3"/>
        <v>F-0428</v>
      </c>
      <c r="C110" s="27">
        <v>70</v>
      </c>
      <c r="D110" t="str" cm="1">
        <f t="array" ref="D110">insertinto(A110:C110,$E$2:$F$4,"pr_Finals_Results")</f>
        <v>insert into pr_Finals_Results values ('20227466', 'F-0428', 70);</v>
      </c>
      <c r="H110">
        <v>108</v>
      </c>
    </row>
    <row r="111" spans="1:8" x14ac:dyDescent="0.15">
      <c r="A111">
        <f t="shared" si="2"/>
        <v>20227466</v>
      </c>
      <c r="B111" t="str">
        <f t="shared" si="3"/>
        <v>F-0732</v>
      </c>
      <c r="C111" s="27">
        <v>6</v>
      </c>
      <c r="D111" t="str" cm="1">
        <f t="array" ref="D111">insertinto(A111:C111,$E$2:$F$4,"pr_Finals_Results")</f>
        <v>insert into pr_Finals_Results values ('20227466', 'F-0732', 6);</v>
      </c>
      <c r="H111">
        <v>109</v>
      </c>
    </row>
    <row r="112" spans="1:8" x14ac:dyDescent="0.15">
      <c r="A112">
        <f t="shared" si="2"/>
        <v>20226221</v>
      </c>
      <c r="B112" t="str">
        <f t="shared" si="3"/>
        <v>F-0287</v>
      </c>
      <c r="C112" s="27">
        <v>27</v>
      </c>
      <c r="D112" t="str" cm="1">
        <f t="array" ref="D112">insertinto(A112:C112,$E$2:$F$4,"pr_Finals_Results")</f>
        <v>insert into pr_Finals_Results values ('20226221', 'F-0287', 27);</v>
      </c>
      <c r="H112">
        <v>110</v>
      </c>
    </row>
    <row r="113" spans="1:8" x14ac:dyDescent="0.15">
      <c r="A113">
        <f t="shared" si="2"/>
        <v>20226221</v>
      </c>
      <c r="B113" t="str">
        <f t="shared" si="3"/>
        <v>F-0587</v>
      </c>
      <c r="C113" s="27">
        <v>71</v>
      </c>
      <c r="D113" t="str" cm="1">
        <f t="array" ref="D113">insertinto(A113:C113,$E$2:$F$4,"pr_Finals_Results")</f>
        <v>insert into pr_Finals_Results values ('20226221', 'F-0587', 71);</v>
      </c>
      <c r="H113">
        <v>111</v>
      </c>
    </row>
    <row r="114" spans="1:8" x14ac:dyDescent="0.15">
      <c r="A114">
        <f t="shared" si="2"/>
        <v>20226221</v>
      </c>
      <c r="B114" t="str">
        <f t="shared" si="3"/>
        <v>F-0443</v>
      </c>
      <c r="C114" s="27">
        <v>80</v>
      </c>
      <c r="D114" t="str" cm="1">
        <f t="array" ref="D114">insertinto(A114:C114,$E$2:$F$4,"pr_Finals_Results")</f>
        <v>insert into pr_Finals_Results values ('20226221', 'F-0443', 80);</v>
      </c>
      <c r="H114">
        <v>112</v>
      </c>
    </row>
    <row r="115" spans="1:8" x14ac:dyDescent="0.15">
      <c r="A115">
        <f t="shared" si="2"/>
        <v>20226221</v>
      </c>
      <c r="B115" t="str">
        <f t="shared" si="3"/>
        <v>F-0771</v>
      </c>
      <c r="C115" s="27">
        <v>86</v>
      </c>
      <c r="D115" t="str" cm="1">
        <f t="array" ref="D115">insertinto(A115:C115,$E$2:$F$4,"pr_Finals_Results")</f>
        <v>insert into pr_Finals_Results values ('20226221', 'F-0771', 86);</v>
      </c>
      <c r="H115">
        <v>113</v>
      </c>
    </row>
    <row r="116" spans="1:8" x14ac:dyDescent="0.15">
      <c r="A116">
        <f t="shared" si="2"/>
        <v>20226221</v>
      </c>
      <c r="B116" t="str">
        <f t="shared" si="3"/>
        <v>F-0080</v>
      </c>
      <c r="C116" s="27">
        <v>78</v>
      </c>
      <c r="D116" t="str" cm="1">
        <f t="array" ref="D116">insertinto(A116:C116,$E$2:$F$4,"pr_Finals_Results")</f>
        <v>insert into pr_Finals_Results values ('20226221', 'F-0080', 78);</v>
      </c>
      <c r="H116">
        <v>114</v>
      </c>
    </row>
    <row r="117" spans="1:8" x14ac:dyDescent="0.15">
      <c r="A117">
        <f t="shared" si="2"/>
        <v>20226221</v>
      </c>
      <c r="B117" t="str">
        <f t="shared" si="3"/>
        <v>F-0106</v>
      </c>
      <c r="C117" s="27">
        <v>3</v>
      </c>
      <c r="D117" t="str" cm="1">
        <f t="array" ref="D117">insertinto(A117:C117,$E$2:$F$4,"pr_Finals_Results")</f>
        <v>insert into pr_Finals_Results values ('20226221', 'F-0106', 3);</v>
      </c>
      <c r="H117">
        <v>115</v>
      </c>
    </row>
    <row r="118" spans="1:8" x14ac:dyDescent="0.15">
      <c r="A118">
        <f t="shared" si="2"/>
        <v>20226221</v>
      </c>
      <c r="B118" t="str">
        <f t="shared" si="3"/>
        <v>F-0663</v>
      </c>
      <c r="C118" s="27">
        <v>2</v>
      </c>
      <c r="D118" t="str" cm="1">
        <f t="array" ref="D118">insertinto(A118:C118,$E$2:$F$4,"pr_Finals_Results")</f>
        <v>insert into pr_Finals_Results values ('20226221', 'F-0663', 2);</v>
      </c>
      <c r="H118">
        <v>116</v>
      </c>
    </row>
    <row r="119" spans="1:8" x14ac:dyDescent="0.15">
      <c r="A119">
        <f t="shared" si="2"/>
        <v>20226221</v>
      </c>
      <c r="B119" t="str">
        <f t="shared" si="3"/>
        <v>F-0740</v>
      </c>
      <c r="C119" s="27">
        <v>42</v>
      </c>
      <c r="D119" t="str" cm="1">
        <f t="array" ref="D119">insertinto(A119:C119,$E$2:$F$4,"pr_Finals_Results")</f>
        <v>insert into pr_Finals_Results values ('20226221', 'F-0740', 42);</v>
      </c>
      <c r="H119">
        <v>117</v>
      </c>
    </row>
    <row r="120" spans="1:8" x14ac:dyDescent="0.15">
      <c r="A120">
        <f t="shared" si="2"/>
        <v>20226221</v>
      </c>
      <c r="B120" t="str">
        <f t="shared" si="3"/>
        <v>F-0603</v>
      </c>
      <c r="C120" s="27">
        <v>83</v>
      </c>
      <c r="D120" t="str" cm="1">
        <f t="array" ref="D120">insertinto(A120:C120,$E$2:$F$4,"pr_Finals_Results")</f>
        <v>insert into pr_Finals_Results values ('20226221', 'F-0603', 83);</v>
      </c>
      <c r="H120">
        <v>118</v>
      </c>
    </row>
    <row r="121" spans="1:8" x14ac:dyDescent="0.15">
      <c r="A121">
        <f t="shared" si="2"/>
        <v>20226221</v>
      </c>
      <c r="B121" t="str">
        <f t="shared" si="3"/>
        <v>F-0428</v>
      </c>
      <c r="C121" s="27">
        <v>53</v>
      </c>
      <c r="D121" t="str" cm="1">
        <f t="array" ref="D121">insertinto(A121:C121,$E$2:$F$4,"pr_Finals_Results")</f>
        <v>insert into pr_Finals_Results values ('20226221', 'F-0428', 53);</v>
      </c>
      <c r="H121">
        <v>119</v>
      </c>
    </row>
    <row r="122" spans="1:8" x14ac:dyDescent="0.15">
      <c r="A122">
        <f t="shared" si="2"/>
        <v>20226221</v>
      </c>
      <c r="B122" t="str">
        <f t="shared" si="3"/>
        <v>F-0732</v>
      </c>
      <c r="C122" s="27">
        <v>38</v>
      </c>
      <c r="D122" t="str" cm="1">
        <f t="array" ref="D122">insertinto(A122:C122,$E$2:$F$4,"pr_Finals_Results")</f>
        <v>insert into pr_Finals_Results values ('20226221', 'F-0732', 38);</v>
      </c>
      <c r="H122">
        <v>120</v>
      </c>
    </row>
    <row r="123" spans="1:8" x14ac:dyDescent="0.15">
      <c r="A123">
        <f t="shared" si="2"/>
        <v>20224946</v>
      </c>
      <c r="B123" t="str">
        <f t="shared" si="3"/>
        <v>F-0287</v>
      </c>
      <c r="C123" s="27">
        <v>74</v>
      </c>
      <c r="D123" t="str" cm="1">
        <f t="array" ref="D123">insertinto(A123:C123,$E$2:$F$4,"pr_Finals_Results")</f>
        <v>insert into pr_Finals_Results values ('20224946', 'F-0287', 74);</v>
      </c>
      <c r="H123">
        <v>121</v>
      </c>
    </row>
    <row r="124" spans="1:8" x14ac:dyDescent="0.15">
      <c r="A124">
        <f t="shared" si="2"/>
        <v>20224946</v>
      </c>
      <c r="B124" t="str">
        <f t="shared" si="3"/>
        <v>F-0587</v>
      </c>
      <c r="C124" s="27">
        <v>98</v>
      </c>
      <c r="D124" t="str" cm="1">
        <f t="array" ref="D124">insertinto(A124:C124,$E$2:$F$4,"pr_Finals_Results")</f>
        <v>insert into pr_Finals_Results values ('20224946', 'F-0587', 98);</v>
      </c>
      <c r="H124">
        <v>122</v>
      </c>
    </row>
    <row r="125" spans="1:8" x14ac:dyDescent="0.15">
      <c r="A125">
        <f t="shared" si="2"/>
        <v>20224946</v>
      </c>
      <c r="B125" t="str">
        <f t="shared" si="3"/>
        <v>F-0443</v>
      </c>
      <c r="C125" s="27">
        <v>43</v>
      </c>
      <c r="D125" t="str" cm="1">
        <f t="array" ref="D125">insertinto(A125:C125,$E$2:$F$4,"pr_Finals_Results")</f>
        <v>insert into pr_Finals_Results values ('20224946', 'F-0443', 43);</v>
      </c>
      <c r="H125">
        <v>123</v>
      </c>
    </row>
    <row r="126" spans="1:8" x14ac:dyDescent="0.15">
      <c r="A126">
        <f t="shared" si="2"/>
        <v>20224946</v>
      </c>
      <c r="B126" t="str">
        <f t="shared" si="3"/>
        <v>F-0771</v>
      </c>
      <c r="C126" s="27">
        <v>88</v>
      </c>
      <c r="D126" t="str" cm="1">
        <f t="array" ref="D126">insertinto(A126:C126,$E$2:$F$4,"pr_Finals_Results")</f>
        <v>insert into pr_Finals_Results values ('20224946', 'F-0771', 88);</v>
      </c>
      <c r="H126">
        <v>124</v>
      </c>
    </row>
    <row r="127" spans="1:8" x14ac:dyDescent="0.15">
      <c r="A127">
        <f t="shared" si="2"/>
        <v>20224946</v>
      </c>
      <c r="B127" t="str">
        <f t="shared" si="3"/>
        <v>F-0080</v>
      </c>
      <c r="C127" s="27">
        <v>73</v>
      </c>
      <c r="D127" t="str" cm="1">
        <f t="array" ref="D127">insertinto(A127:C127,$E$2:$F$4,"pr_Finals_Results")</f>
        <v>insert into pr_Finals_Results values ('20224946', 'F-0080', 73);</v>
      </c>
      <c r="H127">
        <v>125</v>
      </c>
    </row>
    <row r="128" spans="1:8" x14ac:dyDescent="0.15">
      <c r="A128">
        <f t="shared" si="2"/>
        <v>20224946</v>
      </c>
      <c r="B128" t="str">
        <f t="shared" si="3"/>
        <v>F-0106</v>
      </c>
      <c r="C128" s="27">
        <v>96</v>
      </c>
      <c r="D128" t="str" cm="1">
        <f t="array" ref="D128">insertinto(A128:C128,$E$2:$F$4,"pr_Finals_Results")</f>
        <v>insert into pr_Finals_Results values ('20224946', 'F-0106', 96);</v>
      </c>
      <c r="H128">
        <v>126</v>
      </c>
    </row>
    <row r="129" spans="1:8" x14ac:dyDescent="0.15">
      <c r="A129">
        <f t="shared" si="2"/>
        <v>20224946</v>
      </c>
      <c r="B129" t="str">
        <f t="shared" si="3"/>
        <v>F-0663</v>
      </c>
      <c r="C129" s="27">
        <v>18</v>
      </c>
      <c r="D129" t="str" cm="1">
        <f t="array" ref="D129">insertinto(A129:C129,$E$2:$F$4,"pr_Finals_Results")</f>
        <v>insert into pr_Finals_Results values ('20224946', 'F-0663', 18);</v>
      </c>
      <c r="H129">
        <v>127</v>
      </c>
    </row>
    <row r="130" spans="1:8" x14ac:dyDescent="0.15">
      <c r="A130">
        <f t="shared" ref="A130:A193" si="4">INDEX($I$2:$I$51,INT(H130/11)+1)</f>
        <v>20224946</v>
      </c>
      <c r="B130" t="str">
        <f t="shared" ref="B130:B193" si="5">INDEX($J$2:$J$12,MOD(H130,11)+1)</f>
        <v>F-0740</v>
      </c>
      <c r="C130" s="27">
        <v>42</v>
      </c>
      <c r="D130" t="str" cm="1">
        <f t="array" ref="D130">insertinto(A130:C130,$E$2:$F$4,"pr_Finals_Results")</f>
        <v>insert into pr_Finals_Results values ('20224946', 'F-0740', 42);</v>
      </c>
      <c r="H130">
        <v>128</v>
      </c>
    </row>
    <row r="131" spans="1:8" x14ac:dyDescent="0.15">
      <c r="A131">
        <f t="shared" si="4"/>
        <v>20224946</v>
      </c>
      <c r="B131" t="str">
        <f t="shared" si="5"/>
        <v>F-0603</v>
      </c>
      <c r="C131" s="27">
        <v>68</v>
      </c>
      <c r="D131" t="str" cm="1">
        <f t="array" ref="D131">insertinto(A131:C131,$E$2:$F$4,"pr_Finals_Results")</f>
        <v>insert into pr_Finals_Results values ('20224946', 'F-0603', 68);</v>
      </c>
      <c r="H131">
        <v>129</v>
      </c>
    </row>
    <row r="132" spans="1:8" x14ac:dyDescent="0.15">
      <c r="A132">
        <f t="shared" si="4"/>
        <v>20224946</v>
      </c>
      <c r="B132" t="str">
        <f t="shared" si="5"/>
        <v>F-0428</v>
      </c>
      <c r="C132" s="27">
        <v>48</v>
      </c>
      <c r="D132" t="str" cm="1">
        <f t="array" ref="D132">insertinto(A132:C132,$E$2:$F$4,"pr_Finals_Results")</f>
        <v>insert into pr_Finals_Results values ('20224946', 'F-0428', 48);</v>
      </c>
      <c r="H132">
        <v>130</v>
      </c>
    </row>
    <row r="133" spans="1:8" x14ac:dyDescent="0.15">
      <c r="A133">
        <f t="shared" si="4"/>
        <v>20224946</v>
      </c>
      <c r="B133" t="str">
        <f t="shared" si="5"/>
        <v>F-0732</v>
      </c>
      <c r="C133" s="27">
        <v>21</v>
      </c>
      <c r="D133" t="str" cm="1">
        <f t="array" ref="D133">insertinto(A133:C133,$E$2:$F$4,"pr_Finals_Results")</f>
        <v>insert into pr_Finals_Results values ('20224946', 'F-0732', 21);</v>
      </c>
      <c r="H133">
        <v>131</v>
      </c>
    </row>
    <row r="134" spans="1:8" x14ac:dyDescent="0.15">
      <c r="A134">
        <f t="shared" si="4"/>
        <v>20227782</v>
      </c>
      <c r="B134" t="str">
        <f t="shared" si="5"/>
        <v>F-0287</v>
      </c>
      <c r="C134" s="27">
        <v>24</v>
      </c>
      <c r="D134" t="str" cm="1">
        <f t="array" ref="D134">insertinto(A134:C134,$E$2:$F$4,"pr_Finals_Results")</f>
        <v>insert into pr_Finals_Results values ('20227782', 'F-0287', 24);</v>
      </c>
      <c r="H134">
        <v>132</v>
      </c>
    </row>
    <row r="135" spans="1:8" x14ac:dyDescent="0.15">
      <c r="A135">
        <f t="shared" si="4"/>
        <v>20227782</v>
      </c>
      <c r="B135" t="str">
        <f t="shared" si="5"/>
        <v>F-0587</v>
      </c>
      <c r="C135" s="27">
        <v>87</v>
      </c>
      <c r="D135" t="str" cm="1">
        <f t="array" ref="D135">insertinto(A135:C135,$E$2:$F$4,"pr_Finals_Results")</f>
        <v>insert into pr_Finals_Results values ('20227782', 'F-0587', 87);</v>
      </c>
      <c r="H135">
        <v>133</v>
      </c>
    </row>
    <row r="136" spans="1:8" x14ac:dyDescent="0.15">
      <c r="A136">
        <f t="shared" si="4"/>
        <v>20227782</v>
      </c>
      <c r="B136" t="str">
        <f t="shared" si="5"/>
        <v>F-0443</v>
      </c>
      <c r="C136" s="27">
        <v>39</v>
      </c>
      <c r="D136" t="str" cm="1">
        <f t="array" ref="D136">insertinto(A136:C136,$E$2:$F$4,"pr_Finals_Results")</f>
        <v>insert into pr_Finals_Results values ('20227782', 'F-0443', 39);</v>
      </c>
      <c r="H136">
        <v>134</v>
      </c>
    </row>
    <row r="137" spans="1:8" x14ac:dyDescent="0.15">
      <c r="A137">
        <f t="shared" si="4"/>
        <v>20227782</v>
      </c>
      <c r="B137" t="str">
        <f t="shared" si="5"/>
        <v>F-0771</v>
      </c>
      <c r="C137" s="27">
        <v>6</v>
      </c>
      <c r="D137" t="str" cm="1">
        <f t="array" ref="D137">insertinto(A137:C137,$E$2:$F$4,"pr_Finals_Results")</f>
        <v>insert into pr_Finals_Results values ('20227782', 'F-0771', 6);</v>
      </c>
      <c r="H137">
        <v>135</v>
      </c>
    </row>
    <row r="138" spans="1:8" x14ac:dyDescent="0.15">
      <c r="A138">
        <f t="shared" si="4"/>
        <v>20227782</v>
      </c>
      <c r="B138" t="str">
        <f t="shared" si="5"/>
        <v>F-0080</v>
      </c>
      <c r="C138" s="27">
        <v>86</v>
      </c>
      <c r="D138" t="str" cm="1">
        <f t="array" ref="D138">insertinto(A138:C138,$E$2:$F$4,"pr_Finals_Results")</f>
        <v>insert into pr_Finals_Results values ('20227782', 'F-0080', 86);</v>
      </c>
      <c r="H138">
        <v>136</v>
      </c>
    </row>
    <row r="139" spans="1:8" x14ac:dyDescent="0.15">
      <c r="A139">
        <f t="shared" si="4"/>
        <v>20227782</v>
      </c>
      <c r="B139" t="str">
        <f t="shared" si="5"/>
        <v>F-0106</v>
      </c>
      <c r="C139" s="27">
        <v>45</v>
      </c>
      <c r="D139" t="str" cm="1">
        <f t="array" ref="D139">insertinto(A139:C139,$E$2:$F$4,"pr_Finals_Results")</f>
        <v>insert into pr_Finals_Results values ('20227782', 'F-0106', 45);</v>
      </c>
      <c r="H139">
        <v>137</v>
      </c>
    </row>
    <row r="140" spans="1:8" x14ac:dyDescent="0.15">
      <c r="A140">
        <f t="shared" si="4"/>
        <v>20227782</v>
      </c>
      <c r="B140" t="str">
        <f t="shared" si="5"/>
        <v>F-0663</v>
      </c>
      <c r="C140" s="27">
        <v>78</v>
      </c>
      <c r="D140" t="str" cm="1">
        <f t="array" ref="D140">insertinto(A140:C140,$E$2:$F$4,"pr_Finals_Results")</f>
        <v>insert into pr_Finals_Results values ('20227782', 'F-0663', 78);</v>
      </c>
      <c r="H140">
        <v>138</v>
      </c>
    </row>
    <row r="141" spans="1:8" x14ac:dyDescent="0.15">
      <c r="A141">
        <f t="shared" si="4"/>
        <v>20227782</v>
      </c>
      <c r="B141" t="str">
        <f t="shared" si="5"/>
        <v>F-0740</v>
      </c>
      <c r="C141" s="27">
        <v>68</v>
      </c>
      <c r="D141" t="str" cm="1">
        <f t="array" ref="D141">insertinto(A141:C141,$E$2:$F$4,"pr_Finals_Results")</f>
        <v>insert into pr_Finals_Results values ('20227782', 'F-0740', 68);</v>
      </c>
      <c r="H141">
        <v>139</v>
      </c>
    </row>
    <row r="142" spans="1:8" x14ac:dyDescent="0.15">
      <c r="A142">
        <f t="shared" si="4"/>
        <v>20227782</v>
      </c>
      <c r="B142" t="str">
        <f t="shared" si="5"/>
        <v>F-0603</v>
      </c>
      <c r="C142" s="27">
        <v>5</v>
      </c>
      <c r="D142" t="str" cm="1">
        <f t="array" ref="D142">insertinto(A142:C142,$E$2:$F$4,"pr_Finals_Results")</f>
        <v>insert into pr_Finals_Results values ('20227782', 'F-0603', 5);</v>
      </c>
      <c r="H142">
        <v>140</v>
      </c>
    </row>
    <row r="143" spans="1:8" x14ac:dyDescent="0.15">
      <c r="A143">
        <f t="shared" si="4"/>
        <v>20227782</v>
      </c>
      <c r="B143" t="str">
        <f t="shared" si="5"/>
        <v>F-0428</v>
      </c>
      <c r="C143" s="27">
        <v>73</v>
      </c>
      <c r="D143" t="str" cm="1">
        <f t="array" ref="D143">insertinto(A143:C143,$E$2:$F$4,"pr_Finals_Results")</f>
        <v>insert into pr_Finals_Results values ('20227782', 'F-0428', 73);</v>
      </c>
      <c r="H143">
        <v>141</v>
      </c>
    </row>
    <row r="144" spans="1:8" x14ac:dyDescent="0.15">
      <c r="A144">
        <f t="shared" si="4"/>
        <v>20227782</v>
      </c>
      <c r="B144" t="str">
        <f t="shared" si="5"/>
        <v>F-0732</v>
      </c>
      <c r="C144" s="27">
        <v>80</v>
      </c>
      <c r="D144" t="str" cm="1">
        <f t="array" ref="D144">insertinto(A144:C144,$E$2:$F$4,"pr_Finals_Results")</f>
        <v>insert into pr_Finals_Results values ('20227782', 'F-0732', 80);</v>
      </c>
      <c r="H144">
        <v>142</v>
      </c>
    </row>
    <row r="145" spans="1:8" x14ac:dyDescent="0.15">
      <c r="A145">
        <f t="shared" si="4"/>
        <v>20227177</v>
      </c>
      <c r="B145" t="str">
        <f t="shared" si="5"/>
        <v>F-0287</v>
      </c>
      <c r="C145" s="27">
        <v>89</v>
      </c>
      <c r="D145" t="str" cm="1">
        <f t="array" ref="D145">insertinto(A145:C145,$E$2:$F$4,"pr_Finals_Results")</f>
        <v>insert into pr_Finals_Results values ('20227177', 'F-0287', 89);</v>
      </c>
      <c r="H145">
        <v>143</v>
      </c>
    </row>
    <row r="146" spans="1:8" x14ac:dyDescent="0.15">
      <c r="A146">
        <f t="shared" si="4"/>
        <v>20227177</v>
      </c>
      <c r="B146" t="str">
        <f t="shared" si="5"/>
        <v>F-0587</v>
      </c>
      <c r="C146" s="27">
        <v>73</v>
      </c>
      <c r="D146" t="str" cm="1">
        <f t="array" ref="D146">insertinto(A146:C146,$E$2:$F$4,"pr_Finals_Results")</f>
        <v>insert into pr_Finals_Results values ('20227177', 'F-0587', 73);</v>
      </c>
      <c r="H146">
        <v>144</v>
      </c>
    </row>
    <row r="147" spans="1:8" x14ac:dyDescent="0.15">
      <c r="A147">
        <f t="shared" si="4"/>
        <v>20227177</v>
      </c>
      <c r="B147" t="str">
        <f t="shared" si="5"/>
        <v>F-0443</v>
      </c>
      <c r="C147" s="27">
        <v>75</v>
      </c>
      <c r="D147" t="str" cm="1">
        <f t="array" ref="D147">insertinto(A147:C147,$E$2:$F$4,"pr_Finals_Results")</f>
        <v>insert into pr_Finals_Results values ('20227177', 'F-0443', 75);</v>
      </c>
      <c r="H147">
        <v>145</v>
      </c>
    </row>
    <row r="148" spans="1:8" x14ac:dyDescent="0.15">
      <c r="A148">
        <f t="shared" si="4"/>
        <v>20227177</v>
      </c>
      <c r="B148" t="str">
        <f t="shared" si="5"/>
        <v>F-0771</v>
      </c>
      <c r="C148" s="27">
        <v>98</v>
      </c>
      <c r="D148" t="str" cm="1">
        <f t="array" ref="D148">insertinto(A148:C148,$E$2:$F$4,"pr_Finals_Results")</f>
        <v>insert into pr_Finals_Results values ('20227177', 'F-0771', 98);</v>
      </c>
      <c r="H148">
        <v>146</v>
      </c>
    </row>
    <row r="149" spans="1:8" x14ac:dyDescent="0.15">
      <c r="A149">
        <f t="shared" si="4"/>
        <v>20227177</v>
      </c>
      <c r="B149" t="str">
        <f t="shared" si="5"/>
        <v>F-0080</v>
      </c>
      <c r="C149" s="27">
        <v>68</v>
      </c>
      <c r="D149" t="str" cm="1">
        <f t="array" ref="D149">insertinto(A149:C149,$E$2:$F$4,"pr_Finals_Results")</f>
        <v>insert into pr_Finals_Results values ('20227177', 'F-0080', 68);</v>
      </c>
      <c r="H149">
        <v>147</v>
      </c>
    </row>
    <row r="150" spans="1:8" x14ac:dyDescent="0.15">
      <c r="A150">
        <f t="shared" si="4"/>
        <v>20227177</v>
      </c>
      <c r="B150" t="str">
        <f t="shared" si="5"/>
        <v>F-0106</v>
      </c>
      <c r="C150" s="27">
        <v>71</v>
      </c>
      <c r="D150" t="str" cm="1">
        <f t="array" ref="D150">insertinto(A150:C150,$E$2:$F$4,"pr_Finals_Results")</f>
        <v>insert into pr_Finals_Results values ('20227177', 'F-0106', 71);</v>
      </c>
      <c r="H150">
        <v>148</v>
      </c>
    </row>
    <row r="151" spans="1:8" x14ac:dyDescent="0.15">
      <c r="A151">
        <f t="shared" si="4"/>
        <v>20227177</v>
      </c>
      <c r="B151" t="str">
        <f t="shared" si="5"/>
        <v>F-0663</v>
      </c>
      <c r="C151" s="27">
        <v>51</v>
      </c>
      <c r="D151" t="str" cm="1">
        <f t="array" ref="D151">insertinto(A151:C151,$E$2:$F$4,"pr_Finals_Results")</f>
        <v>insert into pr_Finals_Results values ('20227177', 'F-0663', 51);</v>
      </c>
      <c r="H151">
        <v>149</v>
      </c>
    </row>
    <row r="152" spans="1:8" x14ac:dyDescent="0.15">
      <c r="A152">
        <f t="shared" si="4"/>
        <v>20227177</v>
      </c>
      <c r="B152" t="str">
        <f t="shared" si="5"/>
        <v>F-0740</v>
      </c>
      <c r="C152" s="27">
        <v>12</v>
      </c>
      <c r="D152" t="str" cm="1">
        <f t="array" ref="D152">insertinto(A152:C152,$E$2:$F$4,"pr_Finals_Results")</f>
        <v>insert into pr_Finals_Results values ('20227177', 'F-0740', 12);</v>
      </c>
      <c r="H152">
        <v>150</v>
      </c>
    </row>
    <row r="153" spans="1:8" x14ac:dyDescent="0.15">
      <c r="A153">
        <f t="shared" si="4"/>
        <v>20227177</v>
      </c>
      <c r="B153" t="str">
        <f t="shared" si="5"/>
        <v>F-0603</v>
      </c>
      <c r="C153" s="27">
        <v>52</v>
      </c>
      <c r="D153" t="str" cm="1">
        <f t="array" ref="D153">insertinto(A153:C153,$E$2:$F$4,"pr_Finals_Results")</f>
        <v>insert into pr_Finals_Results values ('20227177', 'F-0603', 52);</v>
      </c>
      <c r="H153">
        <v>151</v>
      </c>
    </row>
    <row r="154" spans="1:8" x14ac:dyDescent="0.15">
      <c r="A154">
        <f t="shared" si="4"/>
        <v>20227177</v>
      </c>
      <c r="B154" t="str">
        <f t="shared" si="5"/>
        <v>F-0428</v>
      </c>
      <c r="C154" s="27">
        <v>41</v>
      </c>
      <c r="D154" t="str" cm="1">
        <f t="array" ref="D154">insertinto(A154:C154,$E$2:$F$4,"pr_Finals_Results")</f>
        <v>insert into pr_Finals_Results values ('20227177', 'F-0428', 41);</v>
      </c>
      <c r="H154">
        <v>152</v>
      </c>
    </row>
    <row r="155" spans="1:8" x14ac:dyDescent="0.15">
      <c r="A155">
        <f t="shared" si="4"/>
        <v>20227177</v>
      </c>
      <c r="B155" t="str">
        <f t="shared" si="5"/>
        <v>F-0732</v>
      </c>
      <c r="C155" s="27">
        <v>66</v>
      </c>
      <c r="D155" t="str" cm="1">
        <f t="array" ref="D155">insertinto(A155:C155,$E$2:$F$4,"pr_Finals_Results")</f>
        <v>insert into pr_Finals_Results values ('20227177', 'F-0732', 66);</v>
      </c>
      <c r="H155">
        <v>153</v>
      </c>
    </row>
    <row r="156" spans="1:8" x14ac:dyDescent="0.15">
      <c r="A156">
        <f t="shared" si="4"/>
        <v>20221564</v>
      </c>
      <c r="B156" t="str">
        <f t="shared" si="5"/>
        <v>F-0287</v>
      </c>
      <c r="C156" s="27">
        <v>3</v>
      </c>
      <c r="D156" t="str" cm="1">
        <f t="array" ref="D156">insertinto(A156:C156,$E$2:$F$4,"pr_Finals_Results")</f>
        <v>insert into pr_Finals_Results values ('20221564', 'F-0287', 3);</v>
      </c>
      <c r="H156">
        <v>154</v>
      </c>
    </row>
    <row r="157" spans="1:8" x14ac:dyDescent="0.15">
      <c r="A157">
        <f t="shared" si="4"/>
        <v>20221564</v>
      </c>
      <c r="B157" t="str">
        <f t="shared" si="5"/>
        <v>F-0587</v>
      </c>
      <c r="C157" s="27">
        <v>50</v>
      </c>
      <c r="D157" t="str" cm="1">
        <f t="array" ref="D157">insertinto(A157:C157,$E$2:$F$4,"pr_Finals_Results")</f>
        <v>insert into pr_Finals_Results values ('20221564', 'F-0587', 50);</v>
      </c>
      <c r="H157">
        <v>155</v>
      </c>
    </row>
    <row r="158" spans="1:8" x14ac:dyDescent="0.15">
      <c r="A158">
        <f t="shared" si="4"/>
        <v>20221564</v>
      </c>
      <c r="B158" t="str">
        <f t="shared" si="5"/>
        <v>F-0443</v>
      </c>
      <c r="C158" s="27">
        <v>41</v>
      </c>
      <c r="D158" t="str" cm="1">
        <f t="array" ref="D158">insertinto(A158:C158,$E$2:$F$4,"pr_Finals_Results")</f>
        <v>insert into pr_Finals_Results values ('20221564', 'F-0443', 41);</v>
      </c>
      <c r="H158">
        <v>156</v>
      </c>
    </row>
    <row r="159" spans="1:8" x14ac:dyDescent="0.15">
      <c r="A159">
        <f t="shared" si="4"/>
        <v>20221564</v>
      </c>
      <c r="B159" t="str">
        <f t="shared" si="5"/>
        <v>F-0771</v>
      </c>
      <c r="C159" s="27">
        <v>99</v>
      </c>
      <c r="D159" t="str" cm="1">
        <f t="array" ref="D159">insertinto(A159:C159,$E$2:$F$4,"pr_Finals_Results")</f>
        <v>insert into pr_Finals_Results values ('20221564', 'F-0771', 99);</v>
      </c>
      <c r="H159">
        <v>157</v>
      </c>
    </row>
    <row r="160" spans="1:8" x14ac:dyDescent="0.15">
      <c r="A160">
        <f t="shared" si="4"/>
        <v>20221564</v>
      </c>
      <c r="B160" t="str">
        <f t="shared" si="5"/>
        <v>F-0080</v>
      </c>
      <c r="C160" s="27">
        <v>68</v>
      </c>
      <c r="D160" t="str" cm="1">
        <f t="array" ref="D160">insertinto(A160:C160,$E$2:$F$4,"pr_Finals_Results")</f>
        <v>insert into pr_Finals_Results values ('20221564', 'F-0080', 68);</v>
      </c>
      <c r="H160">
        <v>158</v>
      </c>
    </row>
    <row r="161" spans="1:8" x14ac:dyDescent="0.15">
      <c r="A161">
        <f t="shared" si="4"/>
        <v>20221564</v>
      </c>
      <c r="B161" t="str">
        <f t="shared" si="5"/>
        <v>F-0106</v>
      </c>
      <c r="C161" s="27">
        <v>20</v>
      </c>
      <c r="D161" t="str" cm="1">
        <f t="array" ref="D161">insertinto(A161:C161,$E$2:$F$4,"pr_Finals_Results")</f>
        <v>insert into pr_Finals_Results values ('20221564', 'F-0106', 20);</v>
      </c>
      <c r="H161">
        <v>159</v>
      </c>
    </row>
    <row r="162" spans="1:8" x14ac:dyDescent="0.15">
      <c r="A162">
        <f t="shared" si="4"/>
        <v>20221564</v>
      </c>
      <c r="B162" t="str">
        <f t="shared" si="5"/>
        <v>F-0663</v>
      </c>
      <c r="C162" s="27">
        <v>31</v>
      </c>
      <c r="D162" t="str" cm="1">
        <f t="array" ref="D162">insertinto(A162:C162,$E$2:$F$4,"pr_Finals_Results")</f>
        <v>insert into pr_Finals_Results values ('20221564', 'F-0663', 31);</v>
      </c>
      <c r="H162">
        <v>160</v>
      </c>
    </row>
    <row r="163" spans="1:8" x14ac:dyDescent="0.15">
      <c r="A163">
        <f t="shared" si="4"/>
        <v>20221564</v>
      </c>
      <c r="B163" t="str">
        <f t="shared" si="5"/>
        <v>F-0740</v>
      </c>
      <c r="C163" s="27">
        <v>88</v>
      </c>
      <c r="D163" t="str" cm="1">
        <f t="array" ref="D163">insertinto(A163:C163,$E$2:$F$4,"pr_Finals_Results")</f>
        <v>insert into pr_Finals_Results values ('20221564', 'F-0740', 88);</v>
      </c>
      <c r="H163">
        <v>161</v>
      </c>
    </row>
    <row r="164" spans="1:8" x14ac:dyDescent="0.15">
      <c r="A164">
        <f t="shared" si="4"/>
        <v>20221564</v>
      </c>
      <c r="B164" t="str">
        <f t="shared" si="5"/>
        <v>F-0603</v>
      </c>
      <c r="C164" s="27">
        <v>64</v>
      </c>
      <c r="D164" t="str" cm="1">
        <f t="array" ref="D164">insertinto(A164:C164,$E$2:$F$4,"pr_Finals_Results")</f>
        <v>insert into pr_Finals_Results values ('20221564', 'F-0603', 64);</v>
      </c>
      <c r="H164">
        <v>162</v>
      </c>
    </row>
    <row r="165" spans="1:8" x14ac:dyDescent="0.15">
      <c r="A165">
        <f t="shared" si="4"/>
        <v>20221564</v>
      </c>
      <c r="B165" t="str">
        <f t="shared" si="5"/>
        <v>F-0428</v>
      </c>
      <c r="C165" s="27">
        <v>17</v>
      </c>
      <c r="D165" t="str" cm="1">
        <f t="array" ref="D165">insertinto(A165:C165,$E$2:$F$4,"pr_Finals_Results")</f>
        <v>insert into pr_Finals_Results values ('20221564', 'F-0428', 17);</v>
      </c>
      <c r="H165">
        <v>163</v>
      </c>
    </row>
    <row r="166" spans="1:8" x14ac:dyDescent="0.15">
      <c r="A166">
        <f t="shared" si="4"/>
        <v>20221564</v>
      </c>
      <c r="B166" t="str">
        <f t="shared" si="5"/>
        <v>F-0732</v>
      </c>
      <c r="C166" s="27">
        <v>60</v>
      </c>
      <c r="D166" t="str" cm="1">
        <f t="array" ref="D166">insertinto(A166:C166,$E$2:$F$4,"pr_Finals_Results")</f>
        <v>insert into pr_Finals_Results values ('20221564', 'F-0732', 60);</v>
      </c>
      <c r="H166">
        <v>164</v>
      </c>
    </row>
    <row r="167" spans="1:8" x14ac:dyDescent="0.15">
      <c r="A167">
        <f t="shared" si="4"/>
        <v>20224484</v>
      </c>
      <c r="B167" t="str">
        <f t="shared" si="5"/>
        <v>F-0287</v>
      </c>
      <c r="C167" s="27">
        <v>51</v>
      </c>
      <c r="D167" t="str" cm="1">
        <f t="array" ref="D167">insertinto(A167:C167,$E$2:$F$4,"pr_Finals_Results")</f>
        <v>insert into pr_Finals_Results values ('20224484', 'F-0287', 51);</v>
      </c>
      <c r="H167">
        <v>165</v>
      </c>
    </row>
    <row r="168" spans="1:8" x14ac:dyDescent="0.15">
      <c r="A168">
        <f t="shared" si="4"/>
        <v>20224484</v>
      </c>
      <c r="B168" t="str">
        <f t="shared" si="5"/>
        <v>F-0587</v>
      </c>
      <c r="C168" s="27">
        <v>47</v>
      </c>
      <c r="D168" t="str" cm="1">
        <f t="array" ref="D168">insertinto(A168:C168,$E$2:$F$4,"pr_Finals_Results")</f>
        <v>insert into pr_Finals_Results values ('20224484', 'F-0587', 47);</v>
      </c>
      <c r="H168">
        <v>166</v>
      </c>
    </row>
    <row r="169" spans="1:8" x14ac:dyDescent="0.15">
      <c r="A169">
        <f t="shared" si="4"/>
        <v>20224484</v>
      </c>
      <c r="B169" t="str">
        <f t="shared" si="5"/>
        <v>F-0443</v>
      </c>
      <c r="C169" s="27">
        <v>10</v>
      </c>
      <c r="D169" t="str" cm="1">
        <f t="array" ref="D169">insertinto(A169:C169,$E$2:$F$4,"pr_Finals_Results")</f>
        <v>insert into pr_Finals_Results values ('20224484', 'F-0443', 10);</v>
      </c>
      <c r="H169">
        <v>167</v>
      </c>
    </row>
    <row r="170" spans="1:8" x14ac:dyDescent="0.15">
      <c r="A170">
        <f t="shared" si="4"/>
        <v>20224484</v>
      </c>
      <c r="B170" t="str">
        <f t="shared" si="5"/>
        <v>F-0771</v>
      </c>
      <c r="C170" s="27">
        <v>30</v>
      </c>
      <c r="D170" t="str" cm="1">
        <f t="array" ref="D170">insertinto(A170:C170,$E$2:$F$4,"pr_Finals_Results")</f>
        <v>insert into pr_Finals_Results values ('20224484', 'F-0771', 30);</v>
      </c>
      <c r="H170">
        <v>168</v>
      </c>
    </row>
    <row r="171" spans="1:8" x14ac:dyDescent="0.15">
      <c r="A171">
        <f t="shared" si="4"/>
        <v>20224484</v>
      </c>
      <c r="B171" t="str">
        <f t="shared" si="5"/>
        <v>F-0080</v>
      </c>
      <c r="C171" s="27">
        <v>43</v>
      </c>
      <c r="D171" t="str" cm="1">
        <f t="array" ref="D171">insertinto(A171:C171,$E$2:$F$4,"pr_Finals_Results")</f>
        <v>insert into pr_Finals_Results values ('20224484', 'F-0080', 43);</v>
      </c>
      <c r="H171">
        <v>169</v>
      </c>
    </row>
    <row r="172" spans="1:8" x14ac:dyDescent="0.15">
      <c r="A172">
        <f t="shared" si="4"/>
        <v>20224484</v>
      </c>
      <c r="B172" t="str">
        <f t="shared" si="5"/>
        <v>F-0106</v>
      </c>
      <c r="C172" s="27">
        <v>17</v>
      </c>
      <c r="D172" t="str" cm="1">
        <f t="array" ref="D172">insertinto(A172:C172,$E$2:$F$4,"pr_Finals_Results")</f>
        <v>insert into pr_Finals_Results values ('20224484', 'F-0106', 17);</v>
      </c>
      <c r="H172">
        <v>170</v>
      </c>
    </row>
    <row r="173" spans="1:8" x14ac:dyDescent="0.15">
      <c r="A173">
        <f t="shared" si="4"/>
        <v>20224484</v>
      </c>
      <c r="B173" t="str">
        <f t="shared" si="5"/>
        <v>F-0663</v>
      </c>
      <c r="C173" s="27">
        <v>53</v>
      </c>
      <c r="D173" t="str" cm="1">
        <f t="array" ref="D173">insertinto(A173:C173,$E$2:$F$4,"pr_Finals_Results")</f>
        <v>insert into pr_Finals_Results values ('20224484', 'F-0663', 53);</v>
      </c>
      <c r="H173">
        <v>171</v>
      </c>
    </row>
    <row r="174" spans="1:8" x14ac:dyDescent="0.15">
      <c r="A174">
        <f t="shared" si="4"/>
        <v>20224484</v>
      </c>
      <c r="B174" t="str">
        <f t="shared" si="5"/>
        <v>F-0740</v>
      </c>
      <c r="C174" s="27">
        <v>40</v>
      </c>
      <c r="D174" t="str" cm="1">
        <f t="array" ref="D174">insertinto(A174:C174,$E$2:$F$4,"pr_Finals_Results")</f>
        <v>insert into pr_Finals_Results values ('20224484', 'F-0740', 40);</v>
      </c>
      <c r="H174">
        <v>172</v>
      </c>
    </row>
    <row r="175" spans="1:8" x14ac:dyDescent="0.15">
      <c r="A175">
        <f t="shared" si="4"/>
        <v>20224484</v>
      </c>
      <c r="B175" t="str">
        <f t="shared" si="5"/>
        <v>F-0603</v>
      </c>
      <c r="C175" s="27">
        <v>28</v>
      </c>
      <c r="D175" t="str" cm="1">
        <f t="array" ref="D175">insertinto(A175:C175,$E$2:$F$4,"pr_Finals_Results")</f>
        <v>insert into pr_Finals_Results values ('20224484', 'F-0603', 28);</v>
      </c>
      <c r="H175">
        <v>173</v>
      </c>
    </row>
    <row r="176" spans="1:8" x14ac:dyDescent="0.15">
      <c r="A176">
        <f t="shared" si="4"/>
        <v>20224484</v>
      </c>
      <c r="B176" t="str">
        <f t="shared" si="5"/>
        <v>F-0428</v>
      </c>
      <c r="C176" s="27">
        <v>27</v>
      </c>
      <c r="D176" t="str" cm="1">
        <f t="array" ref="D176">insertinto(A176:C176,$E$2:$F$4,"pr_Finals_Results")</f>
        <v>insert into pr_Finals_Results values ('20224484', 'F-0428', 27);</v>
      </c>
      <c r="H176">
        <v>174</v>
      </c>
    </row>
    <row r="177" spans="1:8" x14ac:dyDescent="0.15">
      <c r="A177">
        <f t="shared" si="4"/>
        <v>20224484</v>
      </c>
      <c r="B177" t="str">
        <f t="shared" si="5"/>
        <v>F-0732</v>
      </c>
      <c r="C177" s="27">
        <v>20</v>
      </c>
      <c r="D177" t="str" cm="1">
        <f t="array" ref="D177">insertinto(A177:C177,$E$2:$F$4,"pr_Finals_Results")</f>
        <v>insert into pr_Finals_Results values ('20224484', 'F-0732', 20);</v>
      </c>
      <c r="H177">
        <v>175</v>
      </c>
    </row>
    <row r="178" spans="1:8" x14ac:dyDescent="0.15">
      <c r="A178">
        <f t="shared" si="4"/>
        <v>20226724</v>
      </c>
      <c r="B178" t="str">
        <f t="shared" si="5"/>
        <v>F-0287</v>
      </c>
      <c r="C178" s="27">
        <v>2</v>
      </c>
      <c r="D178" t="str" cm="1">
        <f t="array" ref="D178">insertinto(A178:C178,$E$2:$F$4,"pr_Finals_Results")</f>
        <v>insert into pr_Finals_Results values ('20226724', 'F-0287', 2);</v>
      </c>
      <c r="H178">
        <v>176</v>
      </c>
    </row>
    <row r="179" spans="1:8" x14ac:dyDescent="0.15">
      <c r="A179">
        <f t="shared" si="4"/>
        <v>20226724</v>
      </c>
      <c r="B179" t="str">
        <f t="shared" si="5"/>
        <v>F-0587</v>
      </c>
      <c r="C179" s="27">
        <v>50</v>
      </c>
      <c r="D179" t="str" cm="1">
        <f t="array" ref="D179">insertinto(A179:C179,$E$2:$F$4,"pr_Finals_Results")</f>
        <v>insert into pr_Finals_Results values ('20226724', 'F-0587', 50);</v>
      </c>
      <c r="H179">
        <v>177</v>
      </c>
    </row>
    <row r="180" spans="1:8" x14ac:dyDescent="0.15">
      <c r="A180">
        <f t="shared" si="4"/>
        <v>20226724</v>
      </c>
      <c r="B180" t="str">
        <f t="shared" si="5"/>
        <v>F-0443</v>
      </c>
      <c r="C180" s="27">
        <v>28</v>
      </c>
      <c r="D180" t="str" cm="1">
        <f t="array" ref="D180">insertinto(A180:C180,$E$2:$F$4,"pr_Finals_Results")</f>
        <v>insert into pr_Finals_Results values ('20226724', 'F-0443', 28);</v>
      </c>
      <c r="H180">
        <v>178</v>
      </c>
    </row>
    <row r="181" spans="1:8" x14ac:dyDescent="0.15">
      <c r="A181">
        <f t="shared" si="4"/>
        <v>20226724</v>
      </c>
      <c r="B181" t="str">
        <f t="shared" si="5"/>
        <v>F-0771</v>
      </c>
      <c r="C181" s="27">
        <v>53</v>
      </c>
      <c r="D181" t="str" cm="1">
        <f t="array" ref="D181">insertinto(A181:C181,$E$2:$F$4,"pr_Finals_Results")</f>
        <v>insert into pr_Finals_Results values ('20226724', 'F-0771', 53);</v>
      </c>
      <c r="H181">
        <v>179</v>
      </c>
    </row>
    <row r="182" spans="1:8" x14ac:dyDescent="0.15">
      <c r="A182">
        <f t="shared" si="4"/>
        <v>20226724</v>
      </c>
      <c r="B182" t="str">
        <f t="shared" si="5"/>
        <v>F-0080</v>
      </c>
      <c r="C182" s="27">
        <v>10</v>
      </c>
      <c r="D182" t="str" cm="1">
        <f t="array" ref="D182">insertinto(A182:C182,$E$2:$F$4,"pr_Finals_Results")</f>
        <v>insert into pr_Finals_Results values ('20226724', 'F-0080', 10);</v>
      </c>
      <c r="H182">
        <v>180</v>
      </c>
    </row>
    <row r="183" spans="1:8" x14ac:dyDescent="0.15">
      <c r="A183">
        <f t="shared" si="4"/>
        <v>20226724</v>
      </c>
      <c r="B183" t="str">
        <f t="shared" si="5"/>
        <v>F-0106</v>
      </c>
      <c r="C183" s="27">
        <v>32</v>
      </c>
      <c r="D183" t="str" cm="1">
        <f t="array" ref="D183">insertinto(A183:C183,$E$2:$F$4,"pr_Finals_Results")</f>
        <v>insert into pr_Finals_Results values ('20226724', 'F-0106', 32);</v>
      </c>
      <c r="H183">
        <v>181</v>
      </c>
    </row>
    <row r="184" spans="1:8" x14ac:dyDescent="0.15">
      <c r="A184">
        <f t="shared" si="4"/>
        <v>20226724</v>
      </c>
      <c r="B184" t="str">
        <f t="shared" si="5"/>
        <v>F-0663</v>
      </c>
      <c r="C184" s="27">
        <v>32</v>
      </c>
      <c r="D184" t="str" cm="1">
        <f t="array" ref="D184">insertinto(A184:C184,$E$2:$F$4,"pr_Finals_Results")</f>
        <v>insert into pr_Finals_Results values ('20226724', 'F-0663', 32);</v>
      </c>
      <c r="H184">
        <v>182</v>
      </c>
    </row>
    <row r="185" spans="1:8" x14ac:dyDescent="0.15">
      <c r="A185">
        <f t="shared" si="4"/>
        <v>20226724</v>
      </c>
      <c r="B185" t="str">
        <f t="shared" si="5"/>
        <v>F-0740</v>
      </c>
      <c r="C185" s="27">
        <v>42</v>
      </c>
      <c r="D185" t="str" cm="1">
        <f t="array" ref="D185">insertinto(A185:C185,$E$2:$F$4,"pr_Finals_Results")</f>
        <v>insert into pr_Finals_Results values ('20226724', 'F-0740', 42);</v>
      </c>
      <c r="H185">
        <v>183</v>
      </c>
    </row>
    <row r="186" spans="1:8" x14ac:dyDescent="0.15">
      <c r="A186">
        <f t="shared" si="4"/>
        <v>20226724</v>
      </c>
      <c r="B186" t="str">
        <f t="shared" si="5"/>
        <v>F-0603</v>
      </c>
      <c r="C186" s="27">
        <v>33</v>
      </c>
      <c r="D186" t="str" cm="1">
        <f t="array" ref="D186">insertinto(A186:C186,$E$2:$F$4,"pr_Finals_Results")</f>
        <v>insert into pr_Finals_Results values ('20226724', 'F-0603', 33);</v>
      </c>
      <c r="H186">
        <v>184</v>
      </c>
    </row>
    <row r="187" spans="1:8" x14ac:dyDescent="0.15">
      <c r="A187">
        <f t="shared" si="4"/>
        <v>20226724</v>
      </c>
      <c r="B187" t="str">
        <f t="shared" si="5"/>
        <v>F-0428</v>
      </c>
      <c r="C187" s="27">
        <v>14</v>
      </c>
      <c r="D187" t="str" cm="1">
        <f t="array" ref="D187">insertinto(A187:C187,$E$2:$F$4,"pr_Finals_Results")</f>
        <v>insert into pr_Finals_Results values ('20226724', 'F-0428', 14);</v>
      </c>
      <c r="H187">
        <v>185</v>
      </c>
    </row>
    <row r="188" spans="1:8" x14ac:dyDescent="0.15">
      <c r="A188">
        <f t="shared" si="4"/>
        <v>20226724</v>
      </c>
      <c r="B188" t="str">
        <f t="shared" si="5"/>
        <v>F-0732</v>
      </c>
      <c r="C188" s="27">
        <v>38</v>
      </c>
      <c r="D188" t="str" cm="1">
        <f t="array" ref="D188">insertinto(A188:C188,$E$2:$F$4,"pr_Finals_Results")</f>
        <v>insert into pr_Finals_Results values ('20226724', 'F-0732', 38);</v>
      </c>
      <c r="H188">
        <v>186</v>
      </c>
    </row>
    <row r="189" spans="1:8" x14ac:dyDescent="0.15">
      <c r="A189">
        <f t="shared" si="4"/>
        <v>20225519</v>
      </c>
      <c r="B189" t="str">
        <f t="shared" si="5"/>
        <v>F-0287</v>
      </c>
      <c r="C189" s="27">
        <v>30</v>
      </c>
      <c r="D189" t="str" cm="1">
        <f t="array" ref="D189">insertinto(A189:C189,$E$2:$F$4,"pr_Finals_Results")</f>
        <v>insert into pr_Finals_Results values ('20225519', 'F-0287', 30);</v>
      </c>
      <c r="H189">
        <v>187</v>
      </c>
    </row>
    <row r="190" spans="1:8" x14ac:dyDescent="0.15">
      <c r="A190">
        <f t="shared" si="4"/>
        <v>20225519</v>
      </c>
      <c r="B190" t="str">
        <f t="shared" si="5"/>
        <v>F-0587</v>
      </c>
      <c r="C190" s="27">
        <v>29</v>
      </c>
      <c r="D190" t="str" cm="1">
        <f t="array" ref="D190">insertinto(A190:C190,$E$2:$F$4,"pr_Finals_Results")</f>
        <v>insert into pr_Finals_Results values ('20225519', 'F-0587', 29);</v>
      </c>
      <c r="H190">
        <v>188</v>
      </c>
    </row>
    <row r="191" spans="1:8" x14ac:dyDescent="0.15">
      <c r="A191">
        <f t="shared" si="4"/>
        <v>20225519</v>
      </c>
      <c r="B191" t="str">
        <f t="shared" si="5"/>
        <v>F-0443</v>
      </c>
      <c r="C191" s="27">
        <v>3</v>
      </c>
      <c r="D191" t="str" cm="1">
        <f t="array" ref="D191">insertinto(A191:C191,$E$2:$F$4,"pr_Finals_Results")</f>
        <v>insert into pr_Finals_Results values ('20225519', 'F-0443', 3);</v>
      </c>
      <c r="H191">
        <v>189</v>
      </c>
    </row>
    <row r="192" spans="1:8" x14ac:dyDescent="0.15">
      <c r="A192">
        <f t="shared" si="4"/>
        <v>20225519</v>
      </c>
      <c r="B192" t="str">
        <f t="shared" si="5"/>
        <v>F-0771</v>
      </c>
      <c r="C192" s="27">
        <v>46</v>
      </c>
      <c r="D192" t="str" cm="1">
        <f t="array" ref="D192">insertinto(A192:C192,$E$2:$F$4,"pr_Finals_Results")</f>
        <v>insert into pr_Finals_Results values ('20225519', 'F-0771', 46);</v>
      </c>
      <c r="H192">
        <v>190</v>
      </c>
    </row>
    <row r="193" spans="1:8" x14ac:dyDescent="0.15">
      <c r="A193">
        <f t="shared" si="4"/>
        <v>20225519</v>
      </c>
      <c r="B193" t="str">
        <f t="shared" si="5"/>
        <v>F-0080</v>
      </c>
      <c r="C193" s="27">
        <v>30</v>
      </c>
      <c r="D193" t="str" cm="1">
        <f t="array" ref="D193">insertinto(A193:C193,$E$2:$F$4,"pr_Finals_Results")</f>
        <v>insert into pr_Finals_Results values ('20225519', 'F-0080', 30);</v>
      </c>
      <c r="H193">
        <v>191</v>
      </c>
    </row>
    <row r="194" spans="1:8" x14ac:dyDescent="0.15">
      <c r="A194">
        <f t="shared" ref="A194:A221" si="6">INDEX($I$2:$I$51,INT(H194/11)+1)</f>
        <v>20225519</v>
      </c>
      <c r="B194" t="str">
        <f t="shared" ref="B194:B221" si="7">INDEX($J$2:$J$12,MOD(H194,11)+1)</f>
        <v>F-0106</v>
      </c>
      <c r="C194" s="27">
        <v>50</v>
      </c>
      <c r="D194" t="str" cm="1">
        <f t="array" ref="D194">insertinto(A194:C194,$E$2:$F$4,"pr_Finals_Results")</f>
        <v>insert into pr_Finals_Results values ('20225519', 'F-0106', 50);</v>
      </c>
      <c r="H194">
        <v>192</v>
      </c>
    </row>
    <row r="195" spans="1:8" x14ac:dyDescent="0.15">
      <c r="A195">
        <f t="shared" si="6"/>
        <v>20225519</v>
      </c>
      <c r="B195" t="str">
        <f t="shared" si="7"/>
        <v>F-0663</v>
      </c>
      <c r="C195" s="27">
        <v>24</v>
      </c>
      <c r="D195" t="str" cm="1">
        <f t="array" ref="D195">insertinto(A195:C195,$E$2:$F$4,"pr_Finals_Results")</f>
        <v>insert into pr_Finals_Results values ('20225519', 'F-0663', 24);</v>
      </c>
      <c r="H195">
        <v>193</v>
      </c>
    </row>
    <row r="196" spans="1:8" x14ac:dyDescent="0.15">
      <c r="A196">
        <f t="shared" si="6"/>
        <v>20225519</v>
      </c>
      <c r="B196" t="str">
        <f t="shared" si="7"/>
        <v>F-0740</v>
      </c>
      <c r="C196" s="27">
        <v>1</v>
      </c>
      <c r="D196" t="str" cm="1">
        <f t="array" ref="D196">insertinto(A196:C196,$E$2:$F$4,"pr_Finals_Results")</f>
        <v>insert into pr_Finals_Results values ('20225519', 'F-0740', 1);</v>
      </c>
      <c r="H196">
        <v>194</v>
      </c>
    </row>
    <row r="197" spans="1:8" x14ac:dyDescent="0.15">
      <c r="A197">
        <f t="shared" si="6"/>
        <v>20225519</v>
      </c>
      <c r="B197" t="str">
        <f t="shared" si="7"/>
        <v>F-0603</v>
      </c>
      <c r="C197" s="27">
        <v>49</v>
      </c>
      <c r="D197" t="str" cm="1">
        <f t="array" ref="D197">insertinto(A197:C197,$E$2:$F$4,"pr_Finals_Results")</f>
        <v>insert into pr_Finals_Results values ('20225519', 'F-0603', 49);</v>
      </c>
      <c r="H197">
        <v>195</v>
      </c>
    </row>
    <row r="198" spans="1:8" x14ac:dyDescent="0.15">
      <c r="A198">
        <f t="shared" si="6"/>
        <v>20225519</v>
      </c>
      <c r="B198" t="str">
        <f t="shared" si="7"/>
        <v>F-0428</v>
      </c>
      <c r="C198" s="27">
        <v>44</v>
      </c>
      <c r="D198" t="str" cm="1">
        <f t="array" ref="D198">insertinto(A198:C198,$E$2:$F$4,"pr_Finals_Results")</f>
        <v>insert into pr_Finals_Results values ('20225519', 'F-0428', 44);</v>
      </c>
      <c r="H198">
        <v>196</v>
      </c>
    </row>
    <row r="199" spans="1:8" x14ac:dyDescent="0.15">
      <c r="A199">
        <f t="shared" si="6"/>
        <v>20225519</v>
      </c>
      <c r="B199" t="str">
        <f t="shared" si="7"/>
        <v>F-0732</v>
      </c>
      <c r="C199" s="27">
        <v>38</v>
      </c>
      <c r="D199" t="str" cm="1">
        <f t="array" ref="D199">insertinto(A199:C199,$E$2:$F$4,"pr_Finals_Results")</f>
        <v>insert into pr_Finals_Results values ('20225519', 'F-0732', 38);</v>
      </c>
      <c r="H199">
        <v>197</v>
      </c>
    </row>
    <row r="200" spans="1:8" x14ac:dyDescent="0.15">
      <c r="A200">
        <f t="shared" si="6"/>
        <v>20227388</v>
      </c>
      <c r="B200" t="str">
        <f t="shared" si="7"/>
        <v>F-0287</v>
      </c>
      <c r="C200" s="27">
        <v>43</v>
      </c>
      <c r="D200" t="str" cm="1">
        <f t="array" ref="D200">insertinto(A200:C200,$E$2:$F$4,"pr_Finals_Results")</f>
        <v>insert into pr_Finals_Results values ('20227388', 'F-0287', 43);</v>
      </c>
      <c r="H200">
        <v>198</v>
      </c>
    </row>
    <row r="201" spans="1:8" x14ac:dyDescent="0.15">
      <c r="A201">
        <f t="shared" si="6"/>
        <v>20227388</v>
      </c>
      <c r="B201" t="str">
        <f t="shared" si="7"/>
        <v>F-0587</v>
      </c>
      <c r="C201" s="27">
        <v>13</v>
      </c>
      <c r="D201" t="str" cm="1">
        <f t="array" ref="D201">insertinto(A201:C201,$E$2:$F$4,"pr_Finals_Results")</f>
        <v>insert into pr_Finals_Results values ('20227388', 'F-0587', 13);</v>
      </c>
      <c r="H201">
        <v>199</v>
      </c>
    </row>
    <row r="202" spans="1:8" x14ac:dyDescent="0.15">
      <c r="A202">
        <f t="shared" si="6"/>
        <v>20227388</v>
      </c>
      <c r="B202" t="str">
        <f t="shared" si="7"/>
        <v>F-0443</v>
      </c>
      <c r="C202" s="27">
        <v>42</v>
      </c>
      <c r="D202" t="str" cm="1">
        <f t="array" ref="D202">insertinto(A202:C202,$E$2:$F$4,"pr_Finals_Results")</f>
        <v>insert into pr_Finals_Results values ('20227388', 'F-0443', 42);</v>
      </c>
      <c r="H202">
        <v>200</v>
      </c>
    </row>
    <row r="203" spans="1:8" x14ac:dyDescent="0.15">
      <c r="A203">
        <f t="shared" si="6"/>
        <v>20227388</v>
      </c>
      <c r="B203" t="str">
        <f t="shared" si="7"/>
        <v>F-0771</v>
      </c>
      <c r="C203" s="27">
        <v>38</v>
      </c>
      <c r="D203" t="str" cm="1">
        <f t="array" ref="D203">insertinto(A203:C203,$E$2:$F$4,"pr_Finals_Results")</f>
        <v>insert into pr_Finals_Results values ('20227388', 'F-0771', 38);</v>
      </c>
      <c r="H203">
        <v>201</v>
      </c>
    </row>
    <row r="204" spans="1:8" x14ac:dyDescent="0.15">
      <c r="A204">
        <f t="shared" si="6"/>
        <v>20227388</v>
      </c>
      <c r="B204" t="str">
        <f t="shared" si="7"/>
        <v>F-0080</v>
      </c>
      <c r="C204" s="27">
        <v>22</v>
      </c>
      <c r="D204" t="str" cm="1">
        <f t="array" ref="D204">insertinto(A204:C204,$E$2:$F$4,"pr_Finals_Results")</f>
        <v>insert into pr_Finals_Results values ('20227388', 'F-0080', 22);</v>
      </c>
      <c r="H204">
        <v>202</v>
      </c>
    </row>
    <row r="205" spans="1:8" x14ac:dyDescent="0.15">
      <c r="A205">
        <f t="shared" si="6"/>
        <v>20227388</v>
      </c>
      <c r="B205" t="str">
        <f t="shared" si="7"/>
        <v>F-0106</v>
      </c>
      <c r="C205" s="27">
        <v>50</v>
      </c>
      <c r="D205" t="str" cm="1">
        <f t="array" ref="D205">insertinto(A205:C205,$E$2:$F$4,"pr_Finals_Results")</f>
        <v>insert into pr_Finals_Results values ('20227388', 'F-0106', 50);</v>
      </c>
      <c r="H205">
        <v>203</v>
      </c>
    </row>
    <row r="206" spans="1:8" x14ac:dyDescent="0.15">
      <c r="A206">
        <f t="shared" si="6"/>
        <v>20227388</v>
      </c>
      <c r="B206" t="str">
        <f t="shared" si="7"/>
        <v>F-0663</v>
      </c>
      <c r="C206" s="27">
        <v>28</v>
      </c>
      <c r="D206" t="str" cm="1">
        <f t="array" ref="D206">insertinto(A206:C206,$E$2:$F$4,"pr_Finals_Results")</f>
        <v>insert into pr_Finals_Results values ('20227388', 'F-0663', 28);</v>
      </c>
      <c r="H206">
        <v>204</v>
      </c>
    </row>
    <row r="207" spans="1:8" x14ac:dyDescent="0.15">
      <c r="A207">
        <f t="shared" si="6"/>
        <v>20227388</v>
      </c>
      <c r="B207" t="str">
        <f t="shared" si="7"/>
        <v>F-0740</v>
      </c>
      <c r="C207" s="27">
        <v>31</v>
      </c>
      <c r="D207" t="str" cm="1">
        <f t="array" ref="D207">insertinto(A207:C207,$E$2:$F$4,"pr_Finals_Results")</f>
        <v>insert into pr_Finals_Results values ('20227388', 'F-0740', 31);</v>
      </c>
      <c r="H207">
        <v>205</v>
      </c>
    </row>
    <row r="208" spans="1:8" x14ac:dyDescent="0.15">
      <c r="A208">
        <f t="shared" si="6"/>
        <v>20227388</v>
      </c>
      <c r="B208" t="str">
        <f t="shared" si="7"/>
        <v>F-0603</v>
      </c>
      <c r="C208" s="27">
        <v>12</v>
      </c>
      <c r="D208" t="str" cm="1">
        <f t="array" ref="D208">insertinto(A208:C208,$E$2:$F$4,"pr_Finals_Results")</f>
        <v>insert into pr_Finals_Results values ('20227388', 'F-0603', 12);</v>
      </c>
      <c r="H208">
        <v>206</v>
      </c>
    </row>
    <row r="209" spans="1:8" x14ac:dyDescent="0.15">
      <c r="A209">
        <f t="shared" si="6"/>
        <v>20227388</v>
      </c>
      <c r="B209" t="str">
        <f t="shared" si="7"/>
        <v>F-0428</v>
      </c>
      <c r="C209" s="27">
        <v>54</v>
      </c>
      <c r="D209" t="str" cm="1">
        <f t="array" ref="D209">insertinto(A209:C209,$E$2:$F$4,"pr_Finals_Results")</f>
        <v>insert into pr_Finals_Results values ('20227388', 'F-0428', 54);</v>
      </c>
      <c r="H209">
        <v>207</v>
      </c>
    </row>
    <row r="210" spans="1:8" x14ac:dyDescent="0.15">
      <c r="A210">
        <f t="shared" si="6"/>
        <v>20227388</v>
      </c>
      <c r="B210" t="str">
        <f t="shared" si="7"/>
        <v>F-0732</v>
      </c>
      <c r="C210" s="27">
        <v>48</v>
      </c>
      <c r="D210" t="str" cm="1">
        <f t="array" ref="D210">insertinto(A210:C210,$E$2:$F$4,"pr_Finals_Results")</f>
        <v>insert into pr_Finals_Results values ('20227388', 'F-0732', 48);</v>
      </c>
      <c r="H210">
        <v>208</v>
      </c>
    </row>
    <row r="211" spans="1:8" x14ac:dyDescent="0.15">
      <c r="A211">
        <f t="shared" si="6"/>
        <v>20223671</v>
      </c>
      <c r="B211" t="str">
        <f t="shared" si="7"/>
        <v>F-0287</v>
      </c>
      <c r="C211" s="27">
        <v>8</v>
      </c>
      <c r="D211" t="str" cm="1">
        <f t="array" ref="D211">insertinto(A211:C211,$E$2:$F$4,"pr_Finals_Results")</f>
        <v>insert into pr_Finals_Results values ('20223671', 'F-0287', 8);</v>
      </c>
      <c r="H211">
        <v>209</v>
      </c>
    </row>
    <row r="212" spans="1:8" x14ac:dyDescent="0.15">
      <c r="A212">
        <f t="shared" si="6"/>
        <v>20223671</v>
      </c>
      <c r="B212" t="str">
        <f t="shared" si="7"/>
        <v>F-0587</v>
      </c>
      <c r="C212" s="27">
        <v>26</v>
      </c>
      <c r="D212" t="str" cm="1">
        <f t="array" ref="D212">insertinto(A212:C212,$E$2:$F$4,"pr_Finals_Results")</f>
        <v>insert into pr_Finals_Results values ('20223671', 'F-0587', 26);</v>
      </c>
      <c r="H212">
        <v>210</v>
      </c>
    </row>
    <row r="213" spans="1:8" x14ac:dyDescent="0.15">
      <c r="A213">
        <f t="shared" si="6"/>
        <v>20223671</v>
      </c>
      <c r="B213" t="str">
        <f t="shared" si="7"/>
        <v>F-0443</v>
      </c>
      <c r="C213" s="27">
        <v>48</v>
      </c>
      <c r="D213" t="str" cm="1">
        <f t="array" ref="D213">insertinto(A213:C213,$E$2:$F$4,"pr_Finals_Results")</f>
        <v>insert into pr_Finals_Results values ('20223671', 'F-0443', 48);</v>
      </c>
      <c r="H213">
        <v>211</v>
      </c>
    </row>
    <row r="214" spans="1:8" x14ac:dyDescent="0.15">
      <c r="A214">
        <f t="shared" si="6"/>
        <v>20223671</v>
      </c>
      <c r="B214" t="str">
        <f t="shared" si="7"/>
        <v>F-0771</v>
      </c>
      <c r="C214" s="27">
        <v>25</v>
      </c>
      <c r="D214" t="str" cm="1">
        <f t="array" ref="D214">insertinto(A214:C214,$E$2:$F$4,"pr_Finals_Results")</f>
        <v>insert into pr_Finals_Results values ('20223671', 'F-0771', 25);</v>
      </c>
      <c r="H214">
        <v>212</v>
      </c>
    </row>
    <row r="215" spans="1:8" x14ac:dyDescent="0.15">
      <c r="A215">
        <f t="shared" si="6"/>
        <v>20223671</v>
      </c>
      <c r="B215" t="str">
        <f t="shared" si="7"/>
        <v>F-0080</v>
      </c>
      <c r="C215" s="27">
        <v>52</v>
      </c>
      <c r="D215" t="str" cm="1">
        <f t="array" ref="D215">insertinto(A215:C215,$E$2:$F$4,"pr_Finals_Results")</f>
        <v>insert into pr_Finals_Results values ('20223671', 'F-0080', 52);</v>
      </c>
      <c r="H215">
        <v>213</v>
      </c>
    </row>
    <row r="216" spans="1:8" x14ac:dyDescent="0.15">
      <c r="A216">
        <f t="shared" si="6"/>
        <v>20223671</v>
      </c>
      <c r="B216" t="str">
        <f t="shared" si="7"/>
        <v>F-0106</v>
      </c>
      <c r="C216" s="27">
        <v>33</v>
      </c>
      <c r="D216" t="str" cm="1">
        <f t="array" ref="D216">insertinto(A216:C216,$E$2:$F$4,"pr_Finals_Results")</f>
        <v>insert into pr_Finals_Results values ('20223671', 'F-0106', 33);</v>
      </c>
      <c r="H216">
        <v>214</v>
      </c>
    </row>
    <row r="217" spans="1:8" x14ac:dyDescent="0.15">
      <c r="A217">
        <f t="shared" si="6"/>
        <v>20223671</v>
      </c>
      <c r="B217" t="str">
        <f t="shared" si="7"/>
        <v>F-0663</v>
      </c>
      <c r="C217" s="27">
        <v>51</v>
      </c>
      <c r="D217" t="str" cm="1">
        <f t="array" ref="D217">insertinto(A217:C217,$E$2:$F$4,"pr_Finals_Results")</f>
        <v>insert into pr_Finals_Results values ('20223671', 'F-0663', 51);</v>
      </c>
      <c r="H217">
        <v>215</v>
      </c>
    </row>
    <row r="218" spans="1:8" x14ac:dyDescent="0.15">
      <c r="A218">
        <f t="shared" si="6"/>
        <v>20223671</v>
      </c>
      <c r="B218" t="str">
        <f t="shared" si="7"/>
        <v>F-0740</v>
      </c>
      <c r="C218" s="27">
        <v>34</v>
      </c>
      <c r="D218" t="str" cm="1">
        <f t="array" ref="D218">insertinto(A218:C218,$E$2:$F$4,"pr_Finals_Results")</f>
        <v>insert into pr_Finals_Results values ('20223671', 'F-0740', 34);</v>
      </c>
      <c r="H218">
        <v>216</v>
      </c>
    </row>
    <row r="219" spans="1:8" x14ac:dyDescent="0.15">
      <c r="A219">
        <f t="shared" si="6"/>
        <v>20223671</v>
      </c>
      <c r="B219" t="str">
        <f t="shared" si="7"/>
        <v>F-0603</v>
      </c>
      <c r="C219" s="27">
        <v>45</v>
      </c>
      <c r="D219" t="str" cm="1">
        <f t="array" ref="D219">insertinto(A219:C219,$E$2:$F$4,"pr_Finals_Results")</f>
        <v>insert into pr_Finals_Results values ('20223671', 'F-0603', 45);</v>
      </c>
      <c r="H219">
        <v>217</v>
      </c>
    </row>
    <row r="220" spans="1:8" x14ac:dyDescent="0.15">
      <c r="A220">
        <f t="shared" si="6"/>
        <v>20223671</v>
      </c>
      <c r="B220" t="str">
        <f t="shared" si="7"/>
        <v>F-0428</v>
      </c>
      <c r="C220" s="27">
        <v>52</v>
      </c>
      <c r="D220" t="str" cm="1">
        <f t="array" ref="D220">insertinto(A220:C220,$E$2:$F$4,"pr_Finals_Results")</f>
        <v>insert into pr_Finals_Results values ('20223671', 'F-0428', 52);</v>
      </c>
      <c r="H220">
        <v>218</v>
      </c>
    </row>
    <row r="221" spans="1:8" x14ac:dyDescent="0.15">
      <c r="A221">
        <f t="shared" si="6"/>
        <v>20223671</v>
      </c>
      <c r="B221" t="str">
        <f t="shared" si="7"/>
        <v>F-0732</v>
      </c>
      <c r="C221" s="27">
        <v>39</v>
      </c>
      <c r="D221" t="str" cm="1">
        <f t="array" ref="D221">insertinto(A221:C221,$E$2:$F$4,"pr_Finals_Results")</f>
        <v>insert into pr_Finals_Results values ('20223671', 'F-0732', 39);</v>
      </c>
      <c r="H221">
        <v>219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B5EEF5-58C0-8F4B-B5F8-1ADACFA57F83}">
  <dimension ref="A1:J282"/>
  <sheetViews>
    <sheetView zoomScale="108" workbookViewId="0">
      <selection activeCell="H57" sqref="H57"/>
    </sheetView>
  </sheetViews>
  <sheetFormatPr baseColWidth="10" defaultRowHeight="13" x14ac:dyDescent="0.15"/>
  <cols>
    <col min="3" max="3" width="13" bestFit="1" customWidth="1"/>
    <col min="4" max="4" width="47" bestFit="1" customWidth="1"/>
    <col min="6" max="6" width="13.33203125" bestFit="1" customWidth="1"/>
  </cols>
  <sheetData>
    <row r="1" spans="1:10" x14ac:dyDescent="0.15">
      <c r="A1" s="34" t="s">
        <v>4135</v>
      </c>
      <c r="B1" s="23" t="s">
        <v>4174</v>
      </c>
      <c r="C1" s="14" t="s">
        <v>4336</v>
      </c>
    </row>
    <row r="2" spans="1:10" x14ac:dyDescent="0.15">
      <c r="A2" s="32">
        <f>INDEX($I$3:$I$22,INT(H3/14)+1)</f>
        <v>20229553</v>
      </c>
      <c r="B2" t="str">
        <f>INDEX($J$3:$J$16,MOD(H3,14)+1)</f>
        <v>ENG 101</v>
      </c>
      <c r="D2" t="str" cm="1">
        <f t="array" ref="D2">insertinto(A2:C2,$F$2:$G$4,"pr_Grades")</f>
        <v>insert into pr_Grades values ('20229553', 'ENG 101', null);</v>
      </c>
      <c r="F2" s="14" t="s">
        <v>4135</v>
      </c>
      <c r="G2" s="14" t="s">
        <v>4231</v>
      </c>
      <c r="H2" s="14"/>
      <c r="I2" s="14"/>
      <c r="J2" s="14"/>
    </row>
    <row r="3" spans="1:10" x14ac:dyDescent="0.15">
      <c r="A3" s="32">
        <f t="shared" ref="A3:A66" si="0">INDEX($I$3:$I$22,INT(H4/14)+1)</f>
        <v>20229553</v>
      </c>
      <c r="B3" t="str">
        <f t="shared" ref="B3:B66" si="1">INDEX($J$3:$J$16,MOD(H4,14)+1)</f>
        <v>CS 180</v>
      </c>
      <c r="D3" t="str" cm="1">
        <f t="array" ref="D3">insertinto(A3:C3,$F$2:$G$4,"pr_Grades")</f>
        <v>insert into pr_Grades values ('20229553', 'CS 180', null);</v>
      </c>
      <c r="F3" s="14" t="s">
        <v>4174</v>
      </c>
      <c r="G3" s="14" t="s">
        <v>4231</v>
      </c>
      <c r="H3" s="14">
        <v>0</v>
      </c>
      <c r="I3" s="14">
        <v>20229553</v>
      </c>
      <c r="J3" s="14" t="s">
        <v>4145</v>
      </c>
    </row>
    <row r="4" spans="1:10" x14ac:dyDescent="0.15">
      <c r="A4" s="32">
        <f t="shared" si="0"/>
        <v>20229553</v>
      </c>
      <c r="B4" t="str">
        <f t="shared" si="1"/>
        <v>CS 105</v>
      </c>
      <c r="D4" t="str" cm="1">
        <f t="array" ref="D4">insertinto(A4:C4,$F$2:$G$4,"pr_Grades")</f>
        <v>insert into pr_Grades values ('20229553', 'CS 105', null);</v>
      </c>
      <c r="F4" s="14" t="s">
        <v>4337</v>
      </c>
      <c r="G4" s="14" t="s">
        <v>4232</v>
      </c>
      <c r="H4" s="14">
        <v>1</v>
      </c>
      <c r="I4" s="14">
        <v>20221414</v>
      </c>
      <c r="J4" s="14" t="s">
        <v>4146</v>
      </c>
    </row>
    <row r="5" spans="1:10" x14ac:dyDescent="0.15">
      <c r="A5" s="32">
        <f t="shared" si="0"/>
        <v>20229553</v>
      </c>
      <c r="B5" t="str">
        <f t="shared" si="1"/>
        <v>ECO 110</v>
      </c>
      <c r="D5" t="str" cm="1">
        <f t="array" ref="D5">insertinto(A5:C5,$F$2:$G$4,"pr_Grades")</f>
        <v>insert into pr_Grades values ('20229553', 'ECO 110', null);</v>
      </c>
      <c r="F5" s="14"/>
      <c r="G5" s="14"/>
      <c r="H5" s="14">
        <v>2</v>
      </c>
      <c r="I5" s="14">
        <v>20224306</v>
      </c>
      <c r="J5" s="14" t="s">
        <v>4147</v>
      </c>
    </row>
    <row r="6" spans="1:10" x14ac:dyDescent="0.15">
      <c r="A6" s="32">
        <f t="shared" si="0"/>
        <v>20229553</v>
      </c>
      <c r="B6" t="str">
        <f t="shared" si="1"/>
        <v>MATH 120</v>
      </c>
      <c r="D6" t="str" cm="1">
        <f t="array" ref="D6">insertinto(A6:C6,$F$2:$G$4,"pr_Grades")</f>
        <v>insert into pr_Grades values ('20229553', 'MATH 120', null);</v>
      </c>
      <c r="F6" s="14"/>
      <c r="G6" s="14"/>
      <c r="H6" s="14">
        <v>3</v>
      </c>
      <c r="I6" s="14">
        <v>20220731</v>
      </c>
      <c r="J6" s="14" t="s">
        <v>4148</v>
      </c>
    </row>
    <row r="7" spans="1:10" x14ac:dyDescent="0.15">
      <c r="A7" s="32">
        <f t="shared" si="0"/>
        <v>20229553</v>
      </c>
      <c r="B7" t="str">
        <f t="shared" si="1"/>
        <v>ENG 102</v>
      </c>
      <c r="D7" t="str" cm="1">
        <f t="array" ref="D7">insertinto(A7:C7,$F$2:$G$4,"pr_Grades")</f>
        <v>insert into pr_Grades values ('20229553', 'ENG 102', null);</v>
      </c>
      <c r="F7" s="14"/>
      <c r="G7" s="14"/>
      <c r="H7" s="14">
        <v>4</v>
      </c>
      <c r="I7" s="14">
        <v>20227092</v>
      </c>
      <c r="J7" s="14" t="s">
        <v>4169</v>
      </c>
    </row>
    <row r="8" spans="1:10" x14ac:dyDescent="0.15">
      <c r="A8" s="32">
        <f t="shared" si="0"/>
        <v>20229553</v>
      </c>
      <c r="B8" t="str">
        <f t="shared" si="1"/>
        <v>CS 106</v>
      </c>
      <c r="D8" t="str" cm="1">
        <f t="array" ref="D8">insertinto(A8:C8,$F$2:$G$4,"pr_Grades")</f>
        <v>insert into pr_Grades values ('20229553', 'CS 106', null);</v>
      </c>
      <c r="F8" s="14"/>
      <c r="G8" s="14"/>
      <c r="H8" s="14">
        <v>5</v>
      </c>
      <c r="I8" s="14">
        <v>20226184</v>
      </c>
      <c r="J8" s="14" t="s">
        <v>4153</v>
      </c>
    </row>
    <row r="9" spans="1:10" x14ac:dyDescent="0.15">
      <c r="A9" s="32">
        <f t="shared" si="0"/>
        <v>20229553</v>
      </c>
      <c r="B9" t="str">
        <f t="shared" si="1"/>
        <v>CS 107</v>
      </c>
      <c r="D9" t="str" cm="1">
        <f t="array" ref="D9">insertinto(A9:C9,$F$2:$G$4,"pr_Grades")</f>
        <v>insert into pr_Grades values ('20229553', 'CS 107', null);</v>
      </c>
      <c r="F9" s="14"/>
      <c r="G9" s="14"/>
      <c r="H9" s="14">
        <v>6</v>
      </c>
      <c r="I9" s="14">
        <v>20229558</v>
      </c>
      <c r="J9" s="14" t="s">
        <v>4154</v>
      </c>
    </row>
    <row r="10" spans="1:10" x14ac:dyDescent="0.15">
      <c r="A10" s="32">
        <f t="shared" si="0"/>
        <v>20229553</v>
      </c>
      <c r="B10" t="str">
        <f t="shared" si="1"/>
        <v>ART 120</v>
      </c>
      <c r="D10" t="str" cm="1">
        <f t="array" ref="D10">insertinto(A10:C10,$F$2:$G$4,"pr_Grades")</f>
        <v>insert into pr_Grades values ('20229553', 'ART 120', null);</v>
      </c>
      <c r="F10" s="14"/>
      <c r="G10" s="14"/>
      <c r="H10" s="14">
        <v>7</v>
      </c>
      <c r="I10" s="14">
        <v>20228839</v>
      </c>
      <c r="J10" s="14" t="s">
        <v>4155</v>
      </c>
    </row>
    <row r="11" spans="1:10" x14ac:dyDescent="0.15">
      <c r="A11" s="32">
        <f t="shared" si="0"/>
        <v>20229553</v>
      </c>
      <c r="B11" t="str">
        <f t="shared" si="1"/>
        <v>HIS 120</v>
      </c>
      <c r="D11" t="str" cm="1">
        <f t="array" ref="D11">insertinto(A11:C11,$F$2:$G$4,"pr_Grades")</f>
        <v>insert into pr_Grades values ('20229553', 'HIS 120', null);</v>
      </c>
      <c r="F11" s="14"/>
      <c r="G11" s="14"/>
      <c r="H11" s="14">
        <v>8</v>
      </c>
      <c r="I11" s="14">
        <v>20227541</v>
      </c>
      <c r="J11" s="14" t="s">
        <v>4158</v>
      </c>
    </row>
    <row r="12" spans="1:10" x14ac:dyDescent="0.15">
      <c r="A12" s="32">
        <f t="shared" si="0"/>
        <v>20229553</v>
      </c>
      <c r="B12" t="str">
        <f t="shared" si="1"/>
        <v>PHIL 101</v>
      </c>
      <c r="D12" t="str" cm="1">
        <f t="array" ref="D12">insertinto(A12:C12,$F$2:$G$4,"pr_Grades")</f>
        <v>insert into pr_Grades values ('20229553', 'PHIL 101', null);</v>
      </c>
      <c r="F12" s="14"/>
      <c r="G12" s="14"/>
      <c r="H12" s="14">
        <v>9</v>
      </c>
      <c r="I12" s="14">
        <v>20227466</v>
      </c>
      <c r="J12" s="14" t="s">
        <v>4157</v>
      </c>
    </row>
    <row r="13" spans="1:10" x14ac:dyDescent="0.15">
      <c r="A13" s="32">
        <f t="shared" si="0"/>
        <v>20229553</v>
      </c>
      <c r="B13" t="str">
        <f t="shared" si="1"/>
        <v>POL 101</v>
      </c>
      <c r="D13" t="str" cm="1">
        <f t="array" ref="D13">insertinto(A13:C13,$F$2:$G$4,"pr_Grades")</f>
        <v>insert into pr_Grades values ('20229553', 'POL 101', null);</v>
      </c>
      <c r="F13" s="14"/>
      <c r="G13" s="14"/>
      <c r="H13" s="14">
        <v>10</v>
      </c>
      <c r="I13" s="14">
        <v>20226221</v>
      </c>
      <c r="J13" s="14" t="s">
        <v>4162</v>
      </c>
    </row>
    <row r="14" spans="1:10" x14ac:dyDescent="0.15">
      <c r="A14" s="32">
        <f t="shared" si="0"/>
        <v>20229553</v>
      </c>
      <c r="B14" t="str">
        <f t="shared" si="1"/>
        <v>CS 205</v>
      </c>
      <c r="D14" t="str" cm="1">
        <f t="array" ref="D14">insertinto(A14:C14,$F$2:$G$4,"pr_Grades")</f>
        <v>insert into pr_Grades values ('20229553', 'CS 205', null);</v>
      </c>
      <c r="F14" s="14"/>
      <c r="G14" s="14"/>
      <c r="H14" s="14">
        <v>11</v>
      </c>
      <c r="I14" s="14">
        <v>20224946</v>
      </c>
      <c r="J14" s="14" t="s">
        <v>4163</v>
      </c>
    </row>
    <row r="15" spans="1:10" x14ac:dyDescent="0.15">
      <c r="A15" s="32">
        <f t="shared" si="0"/>
        <v>20229553</v>
      </c>
      <c r="B15" t="str">
        <f t="shared" si="1"/>
        <v>CS 215</v>
      </c>
      <c r="D15" t="str" cm="1">
        <f t="array" ref="D15">insertinto(A15:C15,$F$2:$G$4,"pr_Grades")</f>
        <v>insert into pr_Grades values ('20229553', 'CS 215', null);</v>
      </c>
      <c r="F15" s="14"/>
      <c r="G15" s="14"/>
      <c r="H15" s="14">
        <v>12</v>
      </c>
      <c r="I15" s="14">
        <v>20227782</v>
      </c>
      <c r="J15" s="14" t="s">
        <v>4165</v>
      </c>
    </row>
    <row r="16" spans="1:10" x14ac:dyDescent="0.15">
      <c r="A16" s="32">
        <f t="shared" si="0"/>
        <v>20221414</v>
      </c>
      <c r="B16" t="str">
        <f t="shared" si="1"/>
        <v>ENG 101</v>
      </c>
      <c r="D16" t="str" cm="1">
        <f t="array" ref="D16">insertinto(A16:C16,$F$2:$G$4,"pr_Grades")</f>
        <v>insert into pr_Grades values ('20221414', 'ENG 101', null);</v>
      </c>
      <c r="F16" s="14"/>
      <c r="G16" s="14"/>
      <c r="H16" s="14">
        <v>13</v>
      </c>
      <c r="I16" s="14">
        <v>20227177</v>
      </c>
      <c r="J16" s="14" t="s">
        <v>4167</v>
      </c>
    </row>
    <row r="17" spans="1:10" x14ac:dyDescent="0.15">
      <c r="A17" s="32">
        <f t="shared" si="0"/>
        <v>20221414</v>
      </c>
      <c r="B17" t="str">
        <f t="shared" si="1"/>
        <v>CS 180</v>
      </c>
      <c r="D17" t="str" cm="1">
        <f t="array" ref="D17">insertinto(A17:C17,$F$2:$G$4,"pr_Grades")</f>
        <v>insert into pr_Grades values ('20221414', 'CS 180', null);</v>
      </c>
      <c r="F17" s="14"/>
      <c r="G17" s="14"/>
      <c r="H17" s="14">
        <v>14</v>
      </c>
      <c r="I17" s="14">
        <v>20221564</v>
      </c>
      <c r="J17" s="14"/>
    </row>
    <row r="18" spans="1:10" x14ac:dyDescent="0.15">
      <c r="A18" s="32">
        <f t="shared" si="0"/>
        <v>20221414</v>
      </c>
      <c r="B18" t="str">
        <f t="shared" si="1"/>
        <v>CS 105</v>
      </c>
      <c r="D18" t="str" cm="1">
        <f t="array" ref="D18">insertinto(A18:C18,$F$2:$G$4,"pr_Grades")</f>
        <v>insert into pr_Grades values ('20221414', 'CS 105', null);</v>
      </c>
      <c r="F18" s="14"/>
      <c r="G18" s="14"/>
      <c r="H18" s="14">
        <v>15</v>
      </c>
      <c r="I18" s="14">
        <v>20224484</v>
      </c>
      <c r="J18" s="14"/>
    </row>
    <row r="19" spans="1:10" x14ac:dyDescent="0.15">
      <c r="A19" s="32">
        <f t="shared" si="0"/>
        <v>20221414</v>
      </c>
      <c r="B19" t="str">
        <f t="shared" si="1"/>
        <v>ECO 110</v>
      </c>
      <c r="D19" t="str" cm="1">
        <f t="array" ref="D19">insertinto(A19:C19,$F$2:$G$4,"pr_Grades")</f>
        <v>insert into pr_Grades values ('20221414', 'ECO 110', null);</v>
      </c>
      <c r="F19" s="14"/>
      <c r="G19" s="14"/>
      <c r="H19" s="14">
        <v>16</v>
      </c>
      <c r="I19" s="14">
        <v>20226724</v>
      </c>
      <c r="J19" s="14"/>
    </row>
    <row r="20" spans="1:10" x14ac:dyDescent="0.15">
      <c r="A20" s="32">
        <f t="shared" si="0"/>
        <v>20221414</v>
      </c>
      <c r="B20" t="str">
        <f t="shared" si="1"/>
        <v>MATH 120</v>
      </c>
      <c r="D20" t="str" cm="1">
        <f t="array" ref="D20">insertinto(A20:C20,$F$2:$G$4,"pr_Grades")</f>
        <v>insert into pr_Grades values ('20221414', 'MATH 120', null);</v>
      </c>
      <c r="F20" s="14"/>
      <c r="G20" s="14"/>
      <c r="H20" s="14">
        <v>17</v>
      </c>
      <c r="I20" s="14">
        <v>20225519</v>
      </c>
      <c r="J20" s="14"/>
    </row>
    <row r="21" spans="1:10" x14ac:dyDescent="0.15">
      <c r="A21" s="32">
        <f t="shared" si="0"/>
        <v>20221414</v>
      </c>
      <c r="B21" t="str">
        <f t="shared" si="1"/>
        <v>ENG 102</v>
      </c>
      <c r="D21" t="str" cm="1">
        <f t="array" ref="D21">insertinto(A21:C21,$F$2:$G$4,"pr_Grades")</f>
        <v>insert into pr_Grades values ('20221414', 'ENG 102', null);</v>
      </c>
      <c r="F21" s="14"/>
      <c r="G21" s="14"/>
      <c r="H21" s="14">
        <v>18</v>
      </c>
      <c r="I21" s="14">
        <v>20227388</v>
      </c>
      <c r="J21" s="14"/>
    </row>
    <row r="22" spans="1:10" x14ac:dyDescent="0.15">
      <c r="A22" s="32">
        <f t="shared" si="0"/>
        <v>20221414</v>
      </c>
      <c r="B22" t="str">
        <f t="shared" si="1"/>
        <v>CS 106</v>
      </c>
      <c r="D22" t="str" cm="1">
        <f t="array" ref="D22">insertinto(A22:C22,$F$2:$G$4,"pr_Grades")</f>
        <v>insert into pr_Grades values ('20221414', 'CS 106', null);</v>
      </c>
      <c r="F22" s="14"/>
      <c r="G22" s="14"/>
      <c r="H22" s="14">
        <v>19</v>
      </c>
      <c r="I22" s="14">
        <v>20223671</v>
      </c>
      <c r="J22" s="14"/>
    </row>
    <row r="23" spans="1:10" x14ac:dyDescent="0.15">
      <c r="A23" s="32">
        <f t="shared" si="0"/>
        <v>20221414</v>
      </c>
      <c r="B23" t="str">
        <f t="shared" si="1"/>
        <v>CS 107</v>
      </c>
      <c r="D23" t="str" cm="1">
        <f t="array" ref="D23">insertinto(A23:C23,$F$2:$G$4,"pr_Grades")</f>
        <v>insert into pr_Grades values ('20221414', 'CS 107', null);</v>
      </c>
      <c r="F23" s="14"/>
      <c r="G23" s="14"/>
      <c r="H23" s="14">
        <v>20</v>
      </c>
      <c r="I23" s="14"/>
      <c r="J23" s="14"/>
    </row>
    <row r="24" spans="1:10" x14ac:dyDescent="0.15">
      <c r="A24" s="32">
        <f t="shared" si="0"/>
        <v>20221414</v>
      </c>
      <c r="B24" t="str">
        <f t="shared" si="1"/>
        <v>ART 120</v>
      </c>
      <c r="D24" t="str" cm="1">
        <f t="array" ref="D24">insertinto(A24:C24,$F$2:$G$4,"pr_Grades")</f>
        <v>insert into pr_Grades values ('20221414', 'ART 120', null);</v>
      </c>
      <c r="F24" s="14"/>
      <c r="G24" s="14"/>
      <c r="H24" s="14">
        <v>21</v>
      </c>
      <c r="I24" s="14"/>
      <c r="J24" s="14"/>
    </row>
    <row r="25" spans="1:10" x14ac:dyDescent="0.15">
      <c r="A25" s="32">
        <f t="shared" si="0"/>
        <v>20221414</v>
      </c>
      <c r="B25" t="str">
        <f t="shared" si="1"/>
        <v>HIS 120</v>
      </c>
      <c r="D25" t="str" cm="1">
        <f t="array" ref="D25">insertinto(A25:C25,$F$2:$G$4,"pr_Grades")</f>
        <v>insert into pr_Grades values ('20221414', 'HIS 120', null);</v>
      </c>
      <c r="F25" s="14"/>
      <c r="G25" s="14"/>
      <c r="H25" s="14">
        <v>22</v>
      </c>
      <c r="I25" s="14"/>
      <c r="J25" s="14"/>
    </row>
    <row r="26" spans="1:10" x14ac:dyDescent="0.15">
      <c r="A26" s="32">
        <f t="shared" si="0"/>
        <v>20221414</v>
      </c>
      <c r="B26" t="str">
        <f t="shared" si="1"/>
        <v>PHIL 101</v>
      </c>
      <c r="D26" t="str" cm="1">
        <f t="array" ref="D26">insertinto(A26:C26,$F$2:$G$4,"pr_Grades")</f>
        <v>insert into pr_Grades values ('20221414', 'PHIL 101', null);</v>
      </c>
      <c r="F26" s="14"/>
      <c r="G26" s="14"/>
      <c r="H26" s="14">
        <v>23</v>
      </c>
      <c r="I26" s="14"/>
      <c r="J26" s="14"/>
    </row>
    <row r="27" spans="1:10" x14ac:dyDescent="0.15">
      <c r="A27" s="32">
        <f t="shared" si="0"/>
        <v>20221414</v>
      </c>
      <c r="B27" t="str">
        <f t="shared" si="1"/>
        <v>POL 101</v>
      </c>
      <c r="D27" t="str" cm="1">
        <f t="array" ref="D27">insertinto(A27:C27,$F$2:$G$4,"pr_Grades")</f>
        <v>insert into pr_Grades values ('20221414', 'POL 101', null);</v>
      </c>
      <c r="F27" s="14"/>
      <c r="G27" s="14"/>
      <c r="H27" s="14">
        <v>24</v>
      </c>
      <c r="I27" s="14"/>
      <c r="J27" s="14"/>
    </row>
    <row r="28" spans="1:10" x14ac:dyDescent="0.15">
      <c r="A28" s="32">
        <f t="shared" si="0"/>
        <v>20221414</v>
      </c>
      <c r="B28" t="str">
        <f t="shared" si="1"/>
        <v>CS 205</v>
      </c>
      <c r="D28" t="str" cm="1">
        <f t="array" ref="D28">insertinto(A28:C28,$F$2:$G$4,"pr_Grades")</f>
        <v>insert into pr_Grades values ('20221414', 'CS 205', null);</v>
      </c>
      <c r="F28" s="14"/>
      <c r="G28" s="14"/>
      <c r="H28" s="14">
        <v>25</v>
      </c>
      <c r="I28" s="14"/>
      <c r="J28" s="14"/>
    </row>
    <row r="29" spans="1:10" x14ac:dyDescent="0.15">
      <c r="A29" s="32">
        <f t="shared" si="0"/>
        <v>20221414</v>
      </c>
      <c r="B29" t="str">
        <f t="shared" si="1"/>
        <v>CS 215</v>
      </c>
      <c r="D29" t="str" cm="1">
        <f t="array" ref="D29">insertinto(A29:C29,$F$2:$G$4,"pr_Grades")</f>
        <v>insert into pr_Grades values ('20221414', 'CS 215', null);</v>
      </c>
      <c r="F29" s="14"/>
      <c r="G29" s="14"/>
      <c r="H29" s="14">
        <v>26</v>
      </c>
      <c r="I29" s="14"/>
      <c r="J29" s="14"/>
    </row>
    <row r="30" spans="1:10" x14ac:dyDescent="0.15">
      <c r="A30" s="32">
        <f t="shared" si="0"/>
        <v>20224306</v>
      </c>
      <c r="B30" t="str">
        <f t="shared" si="1"/>
        <v>ENG 101</v>
      </c>
      <c r="D30" t="str" cm="1">
        <f t="array" ref="D30">insertinto(A30:C30,$F$2:$G$4,"pr_Grades")</f>
        <v>insert into pr_Grades values ('20224306', 'ENG 101', null);</v>
      </c>
      <c r="F30" s="14"/>
      <c r="G30" s="14"/>
      <c r="H30" s="14">
        <v>27</v>
      </c>
      <c r="I30" s="14"/>
      <c r="J30" s="14"/>
    </row>
    <row r="31" spans="1:10" x14ac:dyDescent="0.15">
      <c r="A31" s="32">
        <f t="shared" si="0"/>
        <v>20224306</v>
      </c>
      <c r="B31" t="str">
        <f t="shared" si="1"/>
        <v>CS 180</v>
      </c>
      <c r="D31" t="str" cm="1">
        <f t="array" ref="D31">insertinto(A31:C31,$F$2:$G$4,"pr_Grades")</f>
        <v>insert into pr_Grades values ('20224306', 'CS 180', null);</v>
      </c>
      <c r="F31" s="14"/>
      <c r="G31" s="14"/>
      <c r="H31" s="14">
        <v>28</v>
      </c>
      <c r="I31" s="14"/>
      <c r="J31" s="14"/>
    </row>
    <row r="32" spans="1:10" x14ac:dyDescent="0.15">
      <c r="A32" s="32">
        <f t="shared" si="0"/>
        <v>20224306</v>
      </c>
      <c r="B32" t="str">
        <f t="shared" si="1"/>
        <v>CS 105</v>
      </c>
      <c r="D32" t="str" cm="1">
        <f t="array" ref="D32">insertinto(A32:C32,$F$2:$G$4,"pr_Grades")</f>
        <v>insert into pr_Grades values ('20224306', 'CS 105', null);</v>
      </c>
      <c r="F32" s="14"/>
      <c r="G32" s="14"/>
      <c r="H32" s="14">
        <v>29</v>
      </c>
      <c r="I32" s="14"/>
      <c r="J32" s="14"/>
    </row>
    <row r="33" spans="1:10" x14ac:dyDescent="0.15">
      <c r="A33" s="32">
        <f t="shared" si="0"/>
        <v>20224306</v>
      </c>
      <c r="B33" t="str">
        <f t="shared" si="1"/>
        <v>ECO 110</v>
      </c>
      <c r="D33" t="str" cm="1">
        <f t="array" ref="D33">insertinto(A33:C33,$F$2:$G$4,"pr_Grades")</f>
        <v>insert into pr_Grades values ('20224306', 'ECO 110', null);</v>
      </c>
      <c r="F33" s="14"/>
      <c r="G33" s="14"/>
      <c r="H33" s="14">
        <v>30</v>
      </c>
      <c r="I33" s="14"/>
      <c r="J33" s="14"/>
    </row>
    <row r="34" spans="1:10" x14ac:dyDescent="0.15">
      <c r="A34" s="32">
        <f t="shared" si="0"/>
        <v>20224306</v>
      </c>
      <c r="B34" t="str">
        <f t="shared" si="1"/>
        <v>MATH 120</v>
      </c>
      <c r="D34" t="str" cm="1">
        <f t="array" ref="D34">insertinto(A34:C34,$F$2:$G$4,"pr_Grades")</f>
        <v>insert into pr_Grades values ('20224306', 'MATH 120', null);</v>
      </c>
      <c r="F34" s="14"/>
      <c r="G34" s="14"/>
      <c r="H34" s="14">
        <v>31</v>
      </c>
      <c r="I34" s="14"/>
      <c r="J34" s="14"/>
    </row>
    <row r="35" spans="1:10" x14ac:dyDescent="0.15">
      <c r="A35" s="32">
        <f t="shared" si="0"/>
        <v>20224306</v>
      </c>
      <c r="B35" t="str">
        <f t="shared" si="1"/>
        <v>ENG 102</v>
      </c>
      <c r="D35" t="str" cm="1">
        <f t="array" ref="D35">insertinto(A35:C35,$F$2:$G$4,"pr_Grades")</f>
        <v>insert into pr_Grades values ('20224306', 'ENG 102', null);</v>
      </c>
      <c r="F35" s="14"/>
      <c r="G35" s="14"/>
      <c r="H35" s="14">
        <v>32</v>
      </c>
      <c r="I35" s="14"/>
      <c r="J35" s="14"/>
    </row>
    <row r="36" spans="1:10" x14ac:dyDescent="0.15">
      <c r="A36" s="32">
        <f t="shared" si="0"/>
        <v>20224306</v>
      </c>
      <c r="B36" t="str">
        <f t="shared" si="1"/>
        <v>CS 106</v>
      </c>
      <c r="D36" t="str" cm="1">
        <f t="array" ref="D36">insertinto(A36:C36,$F$2:$G$4,"pr_Grades")</f>
        <v>insert into pr_Grades values ('20224306', 'CS 106', null);</v>
      </c>
      <c r="F36" s="14"/>
      <c r="G36" s="14"/>
      <c r="H36" s="14">
        <v>33</v>
      </c>
      <c r="I36" s="14"/>
      <c r="J36" s="14"/>
    </row>
    <row r="37" spans="1:10" x14ac:dyDescent="0.15">
      <c r="A37" s="32">
        <f t="shared" si="0"/>
        <v>20224306</v>
      </c>
      <c r="B37" t="str">
        <f t="shared" si="1"/>
        <v>CS 107</v>
      </c>
      <c r="D37" t="str" cm="1">
        <f t="array" ref="D37">insertinto(A37:C37,$F$2:$G$4,"pr_Grades")</f>
        <v>insert into pr_Grades values ('20224306', 'CS 107', null);</v>
      </c>
      <c r="F37" s="14"/>
      <c r="G37" s="14"/>
      <c r="H37" s="14">
        <v>34</v>
      </c>
      <c r="I37" s="14"/>
      <c r="J37" s="14"/>
    </row>
    <row r="38" spans="1:10" x14ac:dyDescent="0.15">
      <c r="A38" s="32">
        <f t="shared" si="0"/>
        <v>20224306</v>
      </c>
      <c r="B38" t="str">
        <f t="shared" si="1"/>
        <v>ART 120</v>
      </c>
      <c r="D38" t="str" cm="1">
        <f t="array" ref="D38">insertinto(A38:C38,$F$2:$G$4,"pr_Grades")</f>
        <v>insert into pr_Grades values ('20224306', 'ART 120', null);</v>
      </c>
      <c r="F38" s="14"/>
      <c r="G38" s="14"/>
      <c r="H38" s="14">
        <v>35</v>
      </c>
      <c r="I38" s="14"/>
      <c r="J38" s="14"/>
    </row>
    <row r="39" spans="1:10" x14ac:dyDescent="0.15">
      <c r="A39" s="32">
        <f t="shared" si="0"/>
        <v>20224306</v>
      </c>
      <c r="B39" t="str">
        <f t="shared" si="1"/>
        <v>HIS 120</v>
      </c>
      <c r="D39" t="str" cm="1">
        <f t="array" ref="D39">insertinto(A39:C39,$F$2:$G$4,"pr_Grades")</f>
        <v>insert into pr_Grades values ('20224306', 'HIS 120', null);</v>
      </c>
      <c r="F39" s="14"/>
      <c r="G39" s="14"/>
      <c r="H39" s="14">
        <v>36</v>
      </c>
      <c r="I39" s="14"/>
      <c r="J39" s="14"/>
    </row>
    <row r="40" spans="1:10" x14ac:dyDescent="0.15">
      <c r="A40" s="32">
        <f t="shared" si="0"/>
        <v>20224306</v>
      </c>
      <c r="B40" t="str">
        <f t="shared" si="1"/>
        <v>PHIL 101</v>
      </c>
      <c r="D40" t="str" cm="1">
        <f t="array" ref="D40">insertinto(A40:C40,$F$2:$G$4,"pr_Grades")</f>
        <v>insert into pr_Grades values ('20224306', 'PHIL 101', null);</v>
      </c>
      <c r="F40" s="14"/>
      <c r="G40" s="14"/>
      <c r="H40" s="14">
        <v>37</v>
      </c>
      <c r="I40" s="14"/>
      <c r="J40" s="14"/>
    </row>
    <row r="41" spans="1:10" x14ac:dyDescent="0.15">
      <c r="A41" s="32">
        <f t="shared" si="0"/>
        <v>20224306</v>
      </c>
      <c r="B41" t="str">
        <f t="shared" si="1"/>
        <v>POL 101</v>
      </c>
      <c r="D41" t="str" cm="1">
        <f t="array" ref="D41">insertinto(A41:C41,$F$2:$G$4,"pr_Grades")</f>
        <v>insert into pr_Grades values ('20224306', 'POL 101', null);</v>
      </c>
      <c r="F41" s="14"/>
      <c r="G41" s="14"/>
      <c r="H41" s="14">
        <v>38</v>
      </c>
      <c r="I41" s="14"/>
      <c r="J41" s="14"/>
    </row>
    <row r="42" spans="1:10" x14ac:dyDescent="0.15">
      <c r="A42" s="32">
        <f t="shared" si="0"/>
        <v>20224306</v>
      </c>
      <c r="B42" t="str">
        <f t="shared" si="1"/>
        <v>CS 205</v>
      </c>
      <c r="D42" t="str" cm="1">
        <f t="array" ref="D42">insertinto(A42:C42,$F$2:$G$4,"pr_Grades")</f>
        <v>insert into pr_Grades values ('20224306', 'CS 205', null);</v>
      </c>
      <c r="F42" s="14"/>
      <c r="G42" s="14"/>
      <c r="H42" s="14">
        <v>39</v>
      </c>
      <c r="I42" s="14"/>
      <c r="J42" s="14"/>
    </row>
    <row r="43" spans="1:10" x14ac:dyDescent="0.15">
      <c r="A43" s="32">
        <f t="shared" si="0"/>
        <v>20224306</v>
      </c>
      <c r="B43" t="str">
        <f t="shared" si="1"/>
        <v>CS 215</v>
      </c>
      <c r="D43" t="str" cm="1">
        <f t="array" ref="D43">insertinto(A43:C43,$F$2:$G$4,"pr_Grades")</f>
        <v>insert into pr_Grades values ('20224306', 'CS 215', null);</v>
      </c>
      <c r="F43" s="14"/>
      <c r="G43" s="14"/>
      <c r="H43" s="14">
        <v>40</v>
      </c>
      <c r="I43" s="14"/>
      <c r="J43" s="14"/>
    </row>
    <row r="44" spans="1:10" x14ac:dyDescent="0.15">
      <c r="A44" s="32">
        <f t="shared" si="0"/>
        <v>20220731</v>
      </c>
      <c r="B44" t="str">
        <f t="shared" si="1"/>
        <v>ENG 101</v>
      </c>
      <c r="D44" t="str" cm="1">
        <f t="array" ref="D44">insertinto(A44:C44,$F$2:$G$4,"pr_Grades")</f>
        <v>insert into pr_Grades values ('20220731', 'ENG 101', null);</v>
      </c>
      <c r="F44" s="14"/>
      <c r="G44" s="14"/>
      <c r="H44" s="14">
        <v>41</v>
      </c>
      <c r="I44" s="14"/>
      <c r="J44" s="14"/>
    </row>
    <row r="45" spans="1:10" x14ac:dyDescent="0.15">
      <c r="A45" s="32">
        <f t="shared" si="0"/>
        <v>20220731</v>
      </c>
      <c r="B45" t="str">
        <f t="shared" si="1"/>
        <v>CS 180</v>
      </c>
      <c r="D45" t="str" cm="1">
        <f t="array" ref="D45">insertinto(A45:C45,$F$2:$G$4,"pr_Grades")</f>
        <v>insert into pr_Grades values ('20220731', 'CS 180', null);</v>
      </c>
      <c r="F45" s="14"/>
      <c r="G45" s="14"/>
      <c r="H45" s="14">
        <v>42</v>
      </c>
      <c r="I45" s="14"/>
      <c r="J45" s="14"/>
    </row>
    <row r="46" spans="1:10" x14ac:dyDescent="0.15">
      <c r="A46" s="32">
        <f t="shared" si="0"/>
        <v>20220731</v>
      </c>
      <c r="B46" t="str">
        <f t="shared" si="1"/>
        <v>CS 105</v>
      </c>
      <c r="D46" t="str" cm="1">
        <f t="array" ref="D46">insertinto(A46:C46,$F$2:$G$4,"pr_Grades")</f>
        <v>insert into pr_Grades values ('20220731', 'CS 105', null);</v>
      </c>
      <c r="F46" s="14"/>
      <c r="G46" s="14"/>
      <c r="H46" s="14">
        <v>43</v>
      </c>
      <c r="I46" s="14"/>
      <c r="J46" s="14"/>
    </row>
    <row r="47" spans="1:10" x14ac:dyDescent="0.15">
      <c r="A47" s="32">
        <f t="shared" si="0"/>
        <v>20220731</v>
      </c>
      <c r="B47" t="str">
        <f t="shared" si="1"/>
        <v>ECO 110</v>
      </c>
      <c r="D47" t="str" cm="1">
        <f t="array" ref="D47">insertinto(A47:C47,$F$2:$G$4,"pr_Grades")</f>
        <v>insert into pr_Grades values ('20220731', 'ECO 110', null);</v>
      </c>
      <c r="F47" s="14"/>
      <c r="G47" s="14"/>
      <c r="H47" s="14">
        <v>44</v>
      </c>
      <c r="I47" s="14"/>
      <c r="J47" s="14"/>
    </row>
    <row r="48" spans="1:10" x14ac:dyDescent="0.15">
      <c r="A48" s="32">
        <f t="shared" si="0"/>
        <v>20220731</v>
      </c>
      <c r="B48" t="str">
        <f t="shared" si="1"/>
        <v>MATH 120</v>
      </c>
      <c r="D48" t="str" cm="1">
        <f t="array" ref="D48">insertinto(A48:C48,$F$2:$G$4,"pr_Grades")</f>
        <v>insert into pr_Grades values ('20220731', 'MATH 120', null);</v>
      </c>
      <c r="F48" s="14"/>
      <c r="G48" s="14"/>
      <c r="H48" s="14">
        <v>45</v>
      </c>
      <c r="I48" s="14"/>
      <c r="J48" s="14"/>
    </row>
    <row r="49" spans="1:10" x14ac:dyDescent="0.15">
      <c r="A49" s="32">
        <f t="shared" si="0"/>
        <v>20220731</v>
      </c>
      <c r="B49" t="str">
        <f t="shared" si="1"/>
        <v>ENG 102</v>
      </c>
      <c r="D49" t="str" cm="1">
        <f t="array" ref="D49">insertinto(A49:C49,$F$2:$G$4,"pr_Grades")</f>
        <v>insert into pr_Grades values ('20220731', 'ENG 102', null);</v>
      </c>
      <c r="F49" s="14"/>
      <c r="G49" s="14"/>
      <c r="H49" s="14">
        <v>46</v>
      </c>
      <c r="I49" s="14"/>
      <c r="J49" s="14"/>
    </row>
    <row r="50" spans="1:10" x14ac:dyDescent="0.15">
      <c r="A50" s="32">
        <f t="shared" si="0"/>
        <v>20220731</v>
      </c>
      <c r="B50" t="str">
        <f t="shared" si="1"/>
        <v>CS 106</v>
      </c>
      <c r="D50" t="str" cm="1">
        <f t="array" ref="D50">insertinto(A50:C50,$F$2:$G$4,"pr_Grades")</f>
        <v>insert into pr_Grades values ('20220731', 'CS 106', null);</v>
      </c>
      <c r="F50" s="14"/>
      <c r="G50" s="14"/>
      <c r="H50" s="14">
        <v>47</v>
      </c>
      <c r="I50" s="14"/>
      <c r="J50" s="14"/>
    </row>
    <row r="51" spans="1:10" x14ac:dyDescent="0.15">
      <c r="A51" s="32">
        <f t="shared" si="0"/>
        <v>20220731</v>
      </c>
      <c r="B51" t="str">
        <f t="shared" si="1"/>
        <v>CS 107</v>
      </c>
      <c r="D51" t="str" cm="1">
        <f t="array" ref="D51">insertinto(A51:C51,$F$2:$G$4,"pr_Grades")</f>
        <v>insert into pr_Grades values ('20220731', 'CS 107', null);</v>
      </c>
      <c r="F51" s="14"/>
      <c r="G51" s="14"/>
      <c r="H51" s="14">
        <v>48</v>
      </c>
      <c r="I51" s="14"/>
      <c r="J51" s="14"/>
    </row>
    <row r="52" spans="1:10" x14ac:dyDescent="0.15">
      <c r="A52" s="32">
        <f t="shared" si="0"/>
        <v>20220731</v>
      </c>
      <c r="B52" t="str">
        <f t="shared" si="1"/>
        <v>ART 120</v>
      </c>
      <c r="D52" t="str" cm="1">
        <f t="array" ref="D52">insertinto(A52:C52,$F$2:$G$4,"pr_Grades")</f>
        <v>insert into pr_Grades values ('20220731', 'ART 120', null);</v>
      </c>
      <c r="F52" s="14"/>
      <c r="G52" s="14"/>
      <c r="H52" s="14">
        <v>49</v>
      </c>
      <c r="I52" s="14"/>
      <c r="J52" s="14"/>
    </row>
    <row r="53" spans="1:10" x14ac:dyDescent="0.15">
      <c r="A53" s="32">
        <f t="shared" si="0"/>
        <v>20220731</v>
      </c>
      <c r="B53" t="str">
        <f t="shared" si="1"/>
        <v>HIS 120</v>
      </c>
      <c r="D53" t="str" cm="1">
        <f t="array" ref="D53">insertinto(A53:C53,$F$2:$G$4,"pr_Grades")</f>
        <v>insert into pr_Grades values ('20220731', 'HIS 120', null);</v>
      </c>
      <c r="F53" s="14"/>
      <c r="G53" s="14"/>
      <c r="H53" s="14">
        <v>50</v>
      </c>
      <c r="I53" s="14"/>
      <c r="J53" s="14"/>
    </row>
    <row r="54" spans="1:10" x14ac:dyDescent="0.15">
      <c r="A54" s="32">
        <f t="shared" si="0"/>
        <v>20220731</v>
      </c>
      <c r="B54" t="str">
        <f t="shared" si="1"/>
        <v>PHIL 101</v>
      </c>
      <c r="D54" t="str" cm="1">
        <f t="array" ref="D54">insertinto(A54:C54,$F$2:$G$4,"pr_Grades")</f>
        <v>insert into pr_Grades values ('20220731', 'PHIL 101', null);</v>
      </c>
      <c r="F54" s="14"/>
      <c r="G54" s="14"/>
      <c r="H54" s="14">
        <v>51</v>
      </c>
      <c r="I54" s="14"/>
      <c r="J54" s="14"/>
    </row>
    <row r="55" spans="1:10" x14ac:dyDescent="0.15">
      <c r="A55" s="32">
        <f t="shared" si="0"/>
        <v>20220731</v>
      </c>
      <c r="B55" t="str">
        <f t="shared" si="1"/>
        <v>POL 101</v>
      </c>
      <c r="D55" t="str" cm="1">
        <f t="array" ref="D55">insertinto(A55:C55,$F$2:$G$4,"pr_Grades")</f>
        <v>insert into pr_Grades values ('20220731', 'POL 101', null);</v>
      </c>
      <c r="F55" s="14"/>
      <c r="G55" s="14"/>
      <c r="H55" s="14">
        <v>52</v>
      </c>
      <c r="I55" s="14"/>
      <c r="J55" s="14"/>
    </row>
    <row r="56" spans="1:10" x14ac:dyDescent="0.15">
      <c r="A56" s="32">
        <f t="shared" si="0"/>
        <v>20220731</v>
      </c>
      <c r="B56" t="str">
        <f t="shared" si="1"/>
        <v>CS 205</v>
      </c>
      <c r="D56" t="str" cm="1">
        <f t="array" ref="D56">insertinto(A56:C56,$F$2:$G$4,"pr_Grades")</f>
        <v>insert into pr_Grades values ('20220731', 'CS 205', null);</v>
      </c>
      <c r="F56" s="14"/>
      <c r="G56" s="14"/>
      <c r="H56" s="14">
        <v>53</v>
      </c>
      <c r="I56" s="14"/>
      <c r="J56" s="14"/>
    </row>
    <row r="57" spans="1:10" x14ac:dyDescent="0.15">
      <c r="A57" s="32">
        <f t="shared" si="0"/>
        <v>20220731</v>
      </c>
      <c r="B57" t="str">
        <f t="shared" si="1"/>
        <v>CS 215</v>
      </c>
      <c r="D57" t="str" cm="1">
        <f t="array" ref="D57">insertinto(A57:C57,$F$2:$G$4,"pr_Grades")</f>
        <v>insert into pr_Grades values ('20220731', 'CS 215', null);</v>
      </c>
      <c r="F57" s="14"/>
      <c r="G57" s="14"/>
      <c r="H57" s="14">
        <v>54</v>
      </c>
      <c r="I57" s="14"/>
      <c r="J57" s="14"/>
    </row>
    <row r="58" spans="1:10" x14ac:dyDescent="0.15">
      <c r="A58" s="32">
        <f t="shared" si="0"/>
        <v>20227092</v>
      </c>
      <c r="B58" t="str">
        <f t="shared" si="1"/>
        <v>ENG 101</v>
      </c>
      <c r="D58" t="str" cm="1">
        <f t="array" ref="D58">insertinto(A58:C58,$F$2:$G$4,"pr_Grades")</f>
        <v>insert into pr_Grades values ('20227092', 'ENG 101', null);</v>
      </c>
      <c r="F58" s="14"/>
      <c r="G58" s="14"/>
      <c r="H58" s="14">
        <v>55</v>
      </c>
      <c r="I58" s="14"/>
      <c r="J58" s="14"/>
    </row>
    <row r="59" spans="1:10" x14ac:dyDescent="0.15">
      <c r="A59" s="32">
        <f t="shared" si="0"/>
        <v>20227092</v>
      </c>
      <c r="B59" t="str">
        <f t="shared" si="1"/>
        <v>CS 180</v>
      </c>
      <c r="D59" t="str" cm="1">
        <f t="array" ref="D59">insertinto(A59:C59,$F$2:$G$4,"pr_Grades")</f>
        <v>insert into pr_Grades values ('20227092', 'CS 180', null);</v>
      </c>
      <c r="F59" s="14"/>
      <c r="G59" s="14"/>
      <c r="H59" s="14">
        <v>56</v>
      </c>
      <c r="I59" s="14"/>
      <c r="J59" s="14"/>
    </row>
    <row r="60" spans="1:10" x14ac:dyDescent="0.15">
      <c r="A60" s="32">
        <f t="shared" si="0"/>
        <v>20227092</v>
      </c>
      <c r="B60" t="str">
        <f t="shared" si="1"/>
        <v>CS 105</v>
      </c>
      <c r="D60" t="str" cm="1">
        <f t="array" ref="D60">insertinto(A60:C60,$F$2:$G$4,"pr_Grades")</f>
        <v>insert into pr_Grades values ('20227092', 'CS 105', null);</v>
      </c>
      <c r="F60" s="14"/>
      <c r="G60" s="14"/>
      <c r="H60" s="14">
        <v>57</v>
      </c>
      <c r="I60" s="14"/>
      <c r="J60" s="14"/>
    </row>
    <row r="61" spans="1:10" x14ac:dyDescent="0.15">
      <c r="A61" s="32">
        <f t="shared" si="0"/>
        <v>20227092</v>
      </c>
      <c r="B61" t="str">
        <f t="shared" si="1"/>
        <v>ECO 110</v>
      </c>
      <c r="D61" t="str" cm="1">
        <f t="array" ref="D61">insertinto(A61:C61,$F$2:$G$4,"pr_Grades")</f>
        <v>insert into pr_Grades values ('20227092', 'ECO 110', null);</v>
      </c>
      <c r="F61" s="14"/>
      <c r="G61" s="14"/>
      <c r="H61" s="14">
        <v>58</v>
      </c>
      <c r="I61" s="14"/>
      <c r="J61" s="14"/>
    </row>
    <row r="62" spans="1:10" x14ac:dyDescent="0.15">
      <c r="A62" s="32">
        <f t="shared" si="0"/>
        <v>20227092</v>
      </c>
      <c r="B62" t="str">
        <f t="shared" si="1"/>
        <v>MATH 120</v>
      </c>
      <c r="D62" t="str" cm="1">
        <f t="array" ref="D62">insertinto(A62:C62,$F$2:$G$4,"pr_Grades")</f>
        <v>insert into pr_Grades values ('20227092', 'MATH 120', null);</v>
      </c>
      <c r="F62" s="14"/>
      <c r="G62" s="14"/>
      <c r="H62" s="14">
        <v>59</v>
      </c>
      <c r="I62" s="14"/>
      <c r="J62" s="14"/>
    </row>
    <row r="63" spans="1:10" x14ac:dyDescent="0.15">
      <c r="A63" s="32">
        <f t="shared" si="0"/>
        <v>20227092</v>
      </c>
      <c r="B63" t="str">
        <f t="shared" si="1"/>
        <v>ENG 102</v>
      </c>
      <c r="D63" t="str" cm="1">
        <f t="array" ref="D63">insertinto(A63:C63,$F$2:$G$4,"pr_Grades")</f>
        <v>insert into pr_Grades values ('20227092', 'ENG 102', null);</v>
      </c>
      <c r="F63" s="14"/>
      <c r="G63" s="14"/>
      <c r="H63" s="14">
        <v>60</v>
      </c>
      <c r="I63" s="14"/>
      <c r="J63" s="14"/>
    </row>
    <row r="64" spans="1:10" x14ac:dyDescent="0.15">
      <c r="A64" s="32">
        <f t="shared" si="0"/>
        <v>20227092</v>
      </c>
      <c r="B64" t="str">
        <f t="shared" si="1"/>
        <v>CS 106</v>
      </c>
      <c r="D64" t="str" cm="1">
        <f t="array" ref="D64">insertinto(A64:C64,$F$2:$G$4,"pr_Grades")</f>
        <v>insert into pr_Grades values ('20227092', 'CS 106', null);</v>
      </c>
      <c r="F64" s="14"/>
      <c r="G64" s="14"/>
      <c r="H64" s="14">
        <v>61</v>
      </c>
      <c r="I64" s="14"/>
      <c r="J64" s="14"/>
    </row>
    <row r="65" spans="1:10" x14ac:dyDescent="0.15">
      <c r="A65" s="32">
        <f t="shared" si="0"/>
        <v>20227092</v>
      </c>
      <c r="B65" t="str">
        <f t="shared" si="1"/>
        <v>CS 107</v>
      </c>
      <c r="D65" t="str" cm="1">
        <f t="array" ref="D65">insertinto(A65:C65,$F$2:$G$4,"pr_Grades")</f>
        <v>insert into pr_Grades values ('20227092', 'CS 107', null);</v>
      </c>
      <c r="F65" s="14"/>
      <c r="G65" s="14"/>
      <c r="H65" s="14">
        <v>62</v>
      </c>
      <c r="I65" s="14"/>
      <c r="J65" s="14"/>
    </row>
    <row r="66" spans="1:10" x14ac:dyDescent="0.15">
      <c r="A66" s="32">
        <f t="shared" si="0"/>
        <v>20227092</v>
      </c>
      <c r="B66" t="str">
        <f t="shared" si="1"/>
        <v>ART 120</v>
      </c>
      <c r="D66" t="str" cm="1">
        <f t="array" ref="D66">insertinto(A66:C66,$F$2:$G$4,"pr_Grades")</f>
        <v>insert into pr_Grades values ('20227092', 'ART 120', null);</v>
      </c>
      <c r="F66" s="14"/>
      <c r="G66" s="14"/>
      <c r="H66" s="14">
        <v>63</v>
      </c>
      <c r="I66" s="14"/>
      <c r="J66" s="14"/>
    </row>
    <row r="67" spans="1:10" x14ac:dyDescent="0.15">
      <c r="A67" s="32">
        <f t="shared" ref="A67:A130" si="2">INDEX($I$3:$I$22,INT(H68/14)+1)</f>
        <v>20227092</v>
      </c>
      <c r="B67" t="str">
        <f t="shared" ref="B67:B130" si="3">INDEX($J$3:$J$16,MOD(H68,14)+1)</f>
        <v>HIS 120</v>
      </c>
      <c r="D67" t="str" cm="1">
        <f t="array" ref="D67">insertinto(A67:C67,$F$2:$G$4,"pr_Grades")</f>
        <v>insert into pr_Grades values ('20227092', 'HIS 120', null);</v>
      </c>
      <c r="F67" s="14"/>
      <c r="G67" s="14"/>
      <c r="H67" s="14">
        <v>64</v>
      </c>
      <c r="I67" s="14"/>
      <c r="J67" s="14"/>
    </row>
    <row r="68" spans="1:10" x14ac:dyDescent="0.15">
      <c r="A68" s="32">
        <f t="shared" si="2"/>
        <v>20227092</v>
      </c>
      <c r="B68" t="str">
        <f t="shared" si="3"/>
        <v>PHIL 101</v>
      </c>
      <c r="D68" t="str" cm="1">
        <f t="array" ref="D68">insertinto(A68:C68,$F$2:$G$4,"pr_Grades")</f>
        <v>insert into pr_Grades values ('20227092', 'PHIL 101', null);</v>
      </c>
      <c r="F68" s="14"/>
      <c r="G68" s="14"/>
      <c r="H68" s="14">
        <v>65</v>
      </c>
      <c r="I68" s="14"/>
      <c r="J68" s="14"/>
    </row>
    <row r="69" spans="1:10" x14ac:dyDescent="0.15">
      <c r="A69" s="32">
        <f t="shared" si="2"/>
        <v>20227092</v>
      </c>
      <c r="B69" t="str">
        <f t="shared" si="3"/>
        <v>POL 101</v>
      </c>
      <c r="D69" t="str" cm="1">
        <f t="array" ref="D69">insertinto(A69:C69,$F$2:$G$4,"pr_Grades")</f>
        <v>insert into pr_Grades values ('20227092', 'POL 101', null);</v>
      </c>
      <c r="F69" s="14"/>
      <c r="G69" s="14"/>
      <c r="H69" s="14">
        <v>66</v>
      </c>
      <c r="I69" s="14"/>
      <c r="J69" s="14"/>
    </row>
    <row r="70" spans="1:10" x14ac:dyDescent="0.15">
      <c r="A70" s="32">
        <f t="shared" si="2"/>
        <v>20227092</v>
      </c>
      <c r="B70" t="str">
        <f t="shared" si="3"/>
        <v>CS 205</v>
      </c>
      <c r="D70" t="str" cm="1">
        <f t="array" ref="D70">insertinto(A70:C70,$F$2:$G$4,"pr_Grades")</f>
        <v>insert into pr_Grades values ('20227092', 'CS 205', null);</v>
      </c>
      <c r="F70" s="14"/>
      <c r="G70" s="14"/>
      <c r="H70" s="14">
        <v>67</v>
      </c>
      <c r="I70" s="14"/>
      <c r="J70" s="14"/>
    </row>
    <row r="71" spans="1:10" x14ac:dyDescent="0.15">
      <c r="A71" s="32">
        <f t="shared" si="2"/>
        <v>20227092</v>
      </c>
      <c r="B71" t="str">
        <f t="shared" si="3"/>
        <v>CS 215</v>
      </c>
      <c r="D71" t="str" cm="1">
        <f t="array" ref="D71">insertinto(A71:C71,$F$2:$G$4,"pr_Grades")</f>
        <v>insert into pr_Grades values ('20227092', 'CS 215', null);</v>
      </c>
      <c r="F71" s="14"/>
      <c r="G71" s="14"/>
      <c r="H71" s="14">
        <v>68</v>
      </c>
      <c r="I71" s="14"/>
      <c r="J71" s="14"/>
    </row>
    <row r="72" spans="1:10" x14ac:dyDescent="0.15">
      <c r="A72" s="32">
        <f t="shared" si="2"/>
        <v>20226184</v>
      </c>
      <c r="B72" t="str">
        <f t="shared" si="3"/>
        <v>ENG 101</v>
      </c>
      <c r="D72" t="str" cm="1">
        <f t="array" ref="D72">insertinto(A72:C72,$F$2:$G$4,"pr_Grades")</f>
        <v>insert into pr_Grades values ('20226184', 'ENG 101', null);</v>
      </c>
      <c r="F72" s="14"/>
      <c r="G72" s="14"/>
      <c r="H72" s="14">
        <v>69</v>
      </c>
      <c r="I72" s="14"/>
      <c r="J72" s="14"/>
    </row>
    <row r="73" spans="1:10" x14ac:dyDescent="0.15">
      <c r="A73" s="32">
        <f t="shared" si="2"/>
        <v>20226184</v>
      </c>
      <c r="B73" t="str">
        <f t="shared" si="3"/>
        <v>CS 180</v>
      </c>
      <c r="D73" t="str" cm="1">
        <f t="array" ref="D73">insertinto(A73:C73,$F$2:$G$4,"pr_Grades")</f>
        <v>insert into pr_Grades values ('20226184', 'CS 180', null);</v>
      </c>
      <c r="F73" s="14"/>
      <c r="G73" s="14"/>
      <c r="H73" s="14">
        <v>70</v>
      </c>
      <c r="I73" s="14"/>
      <c r="J73" s="14"/>
    </row>
    <row r="74" spans="1:10" x14ac:dyDescent="0.15">
      <c r="A74" s="32">
        <f t="shared" si="2"/>
        <v>20226184</v>
      </c>
      <c r="B74" t="str">
        <f t="shared" si="3"/>
        <v>CS 105</v>
      </c>
      <c r="D74" t="str" cm="1">
        <f t="array" ref="D74">insertinto(A74:C74,$F$2:$G$4,"pr_Grades")</f>
        <v>insert into pr_Grades values ('20226184', 'CS 105', null);</v>
      </c>
      <c r="F74" s="14"/>
      <c r="G74" s="14"/>
      <c r="H74" s="14">
        <v>71</v>
      </c>
      <c r="I74" s="14"/>
      <c r="J74" s="14"/>
    </row>
    <row r="75" spans="1:10" x14ac:dyDescent="0.15">
      <c r="A75" s="32">
        <f t="shared" si="2"/>
        <v>20226184</v>
      </c>
      <c r="B75" t="str">
        <f t="shared" si="3"/>
        <v>ECO 110</v>
      </c>
      <c r="D75" t="str" cm="1">
        <f t="array" ref="D75">insertinto(A75:C75,$F$2:$G$4,"pr_Grades")</f>
        <v>insert into pr_Grades values ('20226184', 'ECO 110', null);</v>
      </c>
      <c r="F75" s="14"/>
      <c r="G75" s="14"/>
      <c r="H75" s="14">
        <v>72</v>
      </c>
      <c r="I75" s="14"/>
      <c r="J75" s="14"/>
    </row>
    <row r="76" spans="1:10" x14ac:dyDescent="0.15">
      <c r="A76" s="32">
        <f t="shared" si="2"/>
        <v>20226184</v>
      </c>
      <c r="B76" t="str">
        <f t="shared" si="3"/>
        <v>MATH 120</v>
      </c>
      <c r="D76" t="str" cm="1">
        <f t="array" ref="D76">insertinto(A76:C76,$F$2:$G$4,"pr_Grades")</f>
        <v>insert into pr_Grades values ('20226184', 'MATH 120', null);</v>
      </c>
      <c r="F76" s="14"/>
      <c r="G76" s="14"/>
      <c r="H76" s="14">
        <v>73</v>
      </c>
      <c r="I76" s="14"/>
      <c r="J76" s="14"/>
    </row>
    <row r="77" spans="1:10" x14ac:dyDescent="0.15">
      <c r="A77" s="32">
        <f t="shared" si="2"/>
        <v>20226184</v>
      </c>
      <c r="B77" t="str">
        <f t="shared" si="3"/>
        <v>ENG 102</v>
      </c>
      <c r="D77" t="str" cm="1">
        <f t="array" ref="D77">insertinto(A77:C77,$F$2:$G$4,"pr_Grades")</f>
        <v>insert into pr_Grades values ('20226184', 'ENG 102', null);</v>
      </c>
      <c r="F77" s="14"/>
      <c r="G77" s="14"/>
      <c r="H77" s="14">
        <v>74</v>
      </c>
      <c r="I77" s="14"/>
      <c r="J77" s="14"/>
    </row>
    <row r="78" spans="1:10" x14ac:dyDescent="0.15">
      <c r="A78" s="32">
        <f t="shared" si="2"/>
        <v>20226184</v>
      </c>
      <c r="B78" t="str">
        <f t="shared" si="3"/>
        <v>CS 106</v>
      </c>
      <c r="D78" t="str" cm="1">
        <f t="array" ref="D78">insertinto(A78:C78,$F$2:$G$4,"pr_Grades")</f>
        <v>insert into pr_Grades values ('20226184', 'CS 106', null);</v>
      </c>
      <c r="F78" s="14"/>
      <c r="G78" s="14"/>
      <c r="H78" s="14">
        <v>75</v>
      </c>
      <c r="I78" s="14"/>
      <c r="J78" s="14"/>
    </row>
    <row r="79" spans="1:10" x14ac:dyDescent="0.15">
      <c r="A79" s="32">
        <f t="shared" si="2"/>
        <v>20226184</v>
      </c>
      <c r="B79" t="str">
        <f t="shared" si="3"/>
        <v>CS 107</v>
      </c>
      <c r="D79" t="str" cm="1">
        <f t="array" ref="D79">insertinto(A79:C79,$F$2:$G$4,"pr_Grades")</f>
        <v>insert into pr_Grades values ('20226184', 'CS 107', null);</v>
      </c>
      <c r="F79" s="14"/>
      <c r="G79" s="14"/>
      <c r="H79" s="14">
        <v>76</v>
      </c>
      <c r="I79" s="14"/>
      <c r="J79" s="14"/>
    </row>
    <row r="80" spans="1:10" x14ac:dyDescent="0.15">
      <c r="A80" s="32">
        <f t="shared" si="2"/>
        <v>20226184</v>
      </c>
      <c r="B80" t="str">
        <f t="shared" si="3"/>
        <v>ART 120</v>
      </c>
      <c r="D80" t="str" cm="1">
        <f t="array" ref="D80">insertinto(A80:C80,$F$2:$G$4,"pr_Grades")</f>
        <v>insert into pr_Grades values ('20226184', 'ART 120', null);</v>
      </c>
      <c r="F80" s="14"/>
      <c r="G80" s="14"/>
      <c r="H80" s="14">
        <v>77</v>
      </c>
      <c r="I80" s="14"/>
      <c r="J80" s="14"/>
    </row>
    <row r="81" spans="1:10" x14ac:dyDescent="0.15">
      <c r="A81" s="32">
        <f t="shared" si="2"/>
        <v>20226184</v>
      </c>
      <c r="B81" t="str">
        <f t="shared" si="3"/>
        <v>HIS 120</v>
      </c>
      <c r="D81" t="str" cm="1">
        <f t="array" ref="D81">insertinto(A81:C81,$F$2:$G$4,"pr_Grades")</f>
        <v>insert into pr_Grades values ('20226184', 'HIS 120', null);</v>
      </c>
      <c r="F81" s="14"/>
      <c r="G81" s="14"/>
      <c r="H81" s="14">
        <v>78</v>
      </c>
      <c r="I81" s="14"/>
      <c r="J81" s="14"/>
    </row>
    <row r="82" spans="1:10" x14ac:dyDescent="0.15">
      <c r="A82" s="32">
        <f t="shared" si="2"/>
        <v>20226184</v>
      </c>
      <c r="B82" t="str">
        <f t="shared" si="3"/>
        <v>PHIL 101</v>
      </c>
      <c r="D82" t="str" cm="1">
        <f t="array" ref="D82">insertinto(A82:C82,$F$2:$G$4,"pr_Grades")</f>
        <v>insert into pr_Grades values ('20226184', 'PHIL 101', null);</v>
      </c>
      <c r="F82" s="14"/>
      <c r="G82" s="14"/>
      <c r="H82" s="14">
        <v>79</v>
      </c>
      <c r="I82" s="14"/>
      <c r="J82" s="14"/>
    </row>
    <row r="83" spans="1:10" x14ac:dyDescent="0.15">
      <c r="A83" s="32">
        <f t="shared" si="2"/>
        <v>20226184</v>
      </c>
      <c r="B83" t="str">
        <f t="shared" si="3"/>
        <v>POL 101</v>
      </c>
      <c r="D83" t="str" cm="1">
        <f t="array" ref="D83">insertinto(A83:C83,$F$2:$G$4,"pr_Grades")</f>
        <v>insert into pr_Grades values ('20226184', 'POL 101', null);</v>
      </c>
      <c r="F83" s="14"/>
      <c r="G83" s="14"/>
      <c r="H83" s="14">
        <v>80</v>
      </c>
      <c r="I83" s="14"/>
      <c r="J83" s="14"/>
    </row>
    <row r="84" spans="1:10" x14ac:dyDescent="0.15">
      <c r="A84" s="32">
        <f t="shared" si="2"/>
        <v>20226184</v>
      </c>
      <c r="B84" t="str">
        <f t="shared" si="3"/>
        <v>CS 205</v>
      </c>
      <c r="D84" t="str" cm="1">
        <f t="array" ref="D84">insertinto(A84:C84,$F$2:$G$4,"pr_Grades")</f>
        <v>insert into pr_Grades values ('20226184', 'CS 205', null);</v>
      </c>
      <c r="F84" s="14"/>
      <c r="G84" s="14"/>
      <c r="H84" s="14">
        <v>81</v>
      </c>
      <c r="I84" s="14"/>
      <c r="J84" s="14"/>
    </row>
    <row r="85" spans="1:10" x14ac:dyDescent="0.15">
      <c r="A85" s="32">
        <f t="shared" si="2"/>
        <v>20226184</v>
      </c>
      <c r="B85" t="str">
        <f t="shared" si="3"/>
        <v>CS 215</v>
      </c>
      <c r="D85" t="str" cm="1">
        <f t="array" ref="D85">insertinto(A85:C85,$F$2:$G$4,"pr_Grades")</f>
        <v>insert into pr_Grades values ('20226184', 'CS 215', null);</v>
      </c>
      <c r="F85" s="14"/>
      <c r="G85" s="14"/>
      <c r="H85" s="14">
        <v>82</v>
      </c>
      <c r="I85" s="14"/>
      <c r="J85" s="14"/>
    </row>
    <row r="86" spans="1:10" x14ac:dyDescent="0.15">
      <c r="A86" s="32">
        <f t="shared" si="2"/>
        <v>20229558</v>
      </c>
      <c r="B86" t="str">
        <f t="shared" si="3"/>
        <v>ENG 101</v>
      </c>
      <c r="D86" t="str" cm="1">
        <f t="array" ref="D86">insertinto(A86:C86,$F$2:$G$4,"pr_Grades")</f>
        <v>insert into pr_Grades values ('20229558', 'ENG 101', null);</v>
      </c>
      <c r="F86" s="14"/>
      <c r="G86" s="14"/>
      <c r="H86" s="14">
        <v>83</v>
      </c>
      <c r="I86" s="14"/>
      <c r="J86" s="14"/>
    </row>
    <row r="87" spans="1:10" x14ac:dyDescent="0.15">
      <c r="A87" s="32">
        <f t="shared" si="2"/>
        <v>20229558</v>
      </c>
      <c r="B87" t="str">
        <f t="shared" si="3"/>
        <v>CS 180</v>
      </c>
      <c r="D87" t="str" cm="1">
        <f t="array" ref="D87">insertinto(A87:C87,$F$2:$G$4,"pr_Grades")</f>
        <v>insert into pr_Grades values ('20229558', 'CS 180', null);</v>
      </c>
      <c r="F87" s="14"/>
      <c r="G87" s="14"/>
      <c r="H87" s="14">
        <v>84</v>
      </c>
      <c r="I87" s="14"/>
      <c r="J87" s="14"/>
    </row>
    <row r="88" spans="1:10" x14ac:dyDescent="0.15">
      <c r="A88" s="32">
        <f t="shared" si="2"/>
        <v>20229558</v>
      </c>
      <c r="B88" t="str">
        <f t="shared" si="3"/>
        <v>CS 105</v>
      </c>
      <c r="D88" t="str" cm="1">
        <f t="array" ref="D88">insertinto(A88:C88,$F$2:$G$4,"pr_Grades")</f>
        <v>insert into pr_Grades values ('20229558', 'CS 105', null);</v>
      </c>
      <c r="F88" s="14"/>
      <c r="G88" s="14"/>
      <c r="H88" s="14">
        <v>85</v>
      </c>
      <c r="I88" s="14"/>
      <c r="J88" s="14"/>
    </row>
    <row r="89" spans="1:10" x14ac:dyDescent="0.15">
      <c r="A89" s="32">
        <f t="shared" si="2"/>
        <v>20229558</v>
      </c>
      <c r="B89" t="str">
        <f t="shared" si="3"/>
        <v>ECO 110</v>
      </c>
      <c r="D89" t="str" cm="1">
        <f t="array" ref="D89">insertinto(A89:C89,$F$2:$G$4,"pr_Grades")</f>
        <v>insert into pr_Grades values ('20229558', 'ECO 110', null);</v>
      </c>
      <c r="F89" s="14"/>
      <c r="G89" s="14"/>
      <c r="H89" s="14">
        <v>86</v>
      </c>
      <c r="I89" s="14"/>
      <c r="J89" s="14"/>
    </row>
    <row r="90" spans="1:10" x14ac:dyDescent="0.15">
      <c r="A90" s="32">
        <f t="shared" si="2"/>
        <v>20229558</v>
      </c>
      <c r="B90" t="str">
        <f t="shared" si="3"/>
        <v>MATH 120</v>
      </c>
      <c r="D90" t="str" cm="1">
        <f t="array" ref="D90">insertinto(A90:C90,$F$2:$G$4,"pr_Grades")</f>
        <v>insert into pr_Grades values ('20229558', 'MATH 120', null);</v>
      </c>
      <c r="F90" s="14"/>
      <c r="G90" s="14"/>
      <c r="H90" s="14">
        <v>87</v>
      </c>
      <c r="I90" s="14"/>
      <c r="J90" s="14"/>
    </row>
    <row r="91" spans="1:10" x14ac:dyDescent="0.15">
      <c r="A91" s="32">
        <f t="shared" si="2"/>
        <v>20229558</v>
      </c>
      <c r="B91" t="str">
        <f t="shared" si="3"/>
        <v>ENG 102</v>
      </c>
      <c r="D91" t="str" cm="1">
        <f t="array" ref="D91">insertinto(A91:C91,$F$2:$G$4,"pr_Grades")</f>
        <v>insert into pr_Grades values ('20229558', 'ENG 102', null);</v>
      </c>
      <c r="F91" s="14"/>
      <c r="G91" s="14"/>
      <c r="H91" s="14">
        <v>88</v>
      </c>
      <c r="I91" s="14"/>
      <c r="J91" s="14"/>
    </row>
    <row r="92" spans="1:10" x14ac:dyDescent="0.15">
      <c r="A92" s="32">
        <f t="shared" si="2"/>
        <v>20229558</v>
      </c>
      <c r="B92" t="str">
        <f t="shared" si="3"/>
        <v>CS 106</v>
      </c>
      <c r="D92" t="str" cm="1">
        <f t="array" ref="D92">insertinto(A92:C92,$F$2:$G$4,"pr_Grades")</f>
        <v>insert into pr_Grades values ('20229558', 'CS 106', null);</v>
      </c>
      <c r="F92" s="14"/>
      <c r="G92" s="14"/>
      <c r="H92" s="14">
        <v>89</v>
      </c>
      <c r="I92" s="14"/>
      <c r="J92" s="14"/>
    </row>
    <row r="93" spans="1:10" x14ac:dyDescent="0.15">
      <c r="A93" s="32">
        <f t="shared" si="2"/>
        <v>20229558</v>
      </c>
      <c r="B93" t="str">
        <f t="shared" si="3"/>
        <v>CS 107</v>
      </c>
      <c r="D93" t="str" cm="1">
        <f t="array" ref="D93">insertinto(A93:C93,$F$2:$G$4,"pr_Grades")</f>
        <v>insert into pr_Grades values ('20229558', 'CS 107', null);</v>
      </c>
      <c r="F93" s="14"/>
      <c r="G93" s="14"/>
      <c r="H93" s="14">
        <v>90</v>
      </c>
      <c r="I93" s="14"/>
      <c r="J93" s="14"/>
    </row>
    <row r="94" spans="1:10" x14ac:dyDescent="0.15">
      <c r="A94" s="32">
        <f t="shared" si="2"/>
        <v>20229558</v>
      </c>
      <c r="B94" t="str">
        <f t="shared" si="3"/>
        <v>ART 120</v>
      </c>
      <c r="D94" t="str" cm="1">
        <f t="array" ref="D94">insertinto(A94:C94,$F$2:$G$4,"pr_Grades")</f>
        <v>insert into pr_Grades values ('20229558', 'ART 120', null);</v>
      </c>
      <c r="F94" s="14"/>
      <c r="G94" s="14"/>
      <c r="H94" s="14">
        <v>91</v>
      </c>
      <c r="I94" s="14"/>
      <c r="J94" s="14"/>
    </row>
    <row r="95" spans="1:10" x14ac:dyDescent="0.15">
      <c r="A95" s="32">
        <f t="shared" si="2"/>
        <v>20229558</v>
      </c>
      <c r="B95" t="str">
        <f t="shared" si="3"/>
        <v>HIS 120</v>
      </c>
      <c r="D95" t="str" cm="1">
        <f t="array" ref="D95">insertinto(A95:C95,$F$2:$G$4,"pr_Grades")</f>
        <v>insert into pr_Grades values ('20229558', 'HIS 120', null);</v>
      </c>
      <c r="F95" s="14"/>
      <c r="G95" s="14"/>
      <c r="H95" s="14">
        <v>92</v>
      </c>
      <c r="I95" s="14"/>
      <c r="J95" s="14"/>
    </row>
    <row r="96" spans="1:10" x14ac:dyDescent="0.15">
      <c r="A96" s="32">
        <f t="shared" si="2"/>
        <v>20229558</v>
      </c>
      <c r="B96" t="str">
        <f t="shared" si="3"/>
        <v>PHIL 101</v>
      </c>
      <c r="D96" t="str" cm="1">
        <f t="array" ref="D96">insertinto(A96:C96,$F$2:$G$4,"pr_Grades")</f>
        <v>insert into pr_Grades values ('20229558', 'PHIL 101', null);</v>
      </c>
      <c r="F96" s="14"/>
      <c r="G96" s="14"/>
      <c r="H96" s="14">
        <v>93</v>
      </c>
      <c r="I96" s="14"/>
      <c r="J96" s="14"/>
    </row>
    <row r="97" spans="1:10" x14ac:dyDescent="0.15">
      <c r="A97" s="32">
        <f t="shared" si="2"/>
        <v>20229558</v>
      </c>
      <c r="B97" t="str">
        <f t="shared" si="3"/>
        <v>POL 101</v>
      </c>
      <c r="D97" t="str" cm="1">
        <f t="array" ref="D97">insertinto(A97:C97,$F$2:$G$4,"pr_Grades")</f>
        <v>insert into pr_Grades values ('20229558', 'POL 101', null);</v>
      </c>
      <c r="F97" s="14"/>
      <c r="G97" s="14"/>
      <c r="H97" s="14">
        <v>94</v>
      </c>
      <c r="I97" s="14"/>
      <c r="J97" s="14"/>
    </row>
    <row r="98" spans="1:10" x14ac:dyDescent="0.15">
      <c r="A98" s="32">
        <f t="shared" si="2"/>
        <v>20229558</v>
      </c>
      <c r="B98" t="str">
        <f t="shared" si="3"/>
        <v>CS 205</v>
      </c>
      <c r="D98" t="str" cm="1">
        <f t="array" ref="D98">insertinto(A98:C98,$F$2:$G$4,"pr_Grades")</f>
        <v>insert into pr_Grades values ('20229558', 'CS 205', null);</v>
      </c>
      <c r="F98" s="14"/>
      <c r="G98" s="14"/>
      <c r="H98" s="14">
        <v>95</v>
      </c>
      <c r="I98" s="14"/>
      <c r="J98" s="14"/>
    </row>
    <row r="99" spans="1:10" x14ac:dyDescent="0.15">
      <c r="A99" s="32">
        <f t="shared" si="2"/>
        <v>20229558</v>
      </c>
      <c r="B99" t="str">
        <f t="shared" si="3"/>
        <v>CS 215</v>
      </c>
      <c r="D99" t="str" cm="1">
        <f t="array" ref="D99">insertinto(A99:C99,$F$2:$G$4,"pr_Grades")</f>
        <v>insert into pr_Grades values ('20229558', 'CS 215', null);</v>
      </c>
      <c r="F99" s="14"/>
      <c r="G99" s="14"/>
      <c r="H99" s="14">
        <v>96</v>
      </c>
      <c r="I99" s="14"/>
      <c r="J99" s="14"/>
    </row>
    <row r="100" spans="1:10" x14ac:dyDescent="0.15">
      <c r="A100" s="32">
        <f t="shared" si="2"/>
        <v>20228839</v>
      </c>
      <c r="B100" t="str">
        <f t="shared" si="3"/>
        <v>ENG 101</v>
      </c>
      <c r="D100" t="str" cm="1">
        <f t="array" ref="D100">insertinto(A100:C100,$F$2:$G$4,"pr_Grades")</f>
        <v>insert into pr_Grades values ('20228839', 'ENG 101', null);</v>
      </c>
      <c r="F100" s="14"/>
      <c r="G100" s="14"/>
      <c r="H100" s="14">
        <v>97</v>
      </c>
      <c r="I100" s="14"/>
      <c r="J100" s="14"/>
    </row>
    <row r="101" spans="1:10" x14ac:dyDescent="0.15">
      <c r="A101" s="32">
        <f t="shared" si="2"/>
        <v>20228839</v>
      </c>
      <c r="B101" t="str">
        <f t="shared" si="3"/>
        <v>CS 180</v>
      </c>
      <c r="D101" t="str" cm="1">
        <f t="array" ref="D101">insertinto(A101:C101,$F$2:$G$4,"pr_Grades")</f>
        <v>insert into pr_Grades values ('20228839', 'CS 180', null);</v>
      </c>
      <c r="F101" s="14"/>
      <c r="G101" s="14"/>
      <c r="H101" s="14">
        <v>98</v>
      </c>
      <c r="I101" s="14"/>
      <c r="J101" s="14"/>
    </row>
    <row r="102" spans="1:10" x14ac:dyDescent="0.15">
      <c r="A102" s="32">
        <f t="shared" si="2"/>
        <v>20228839</v>
      </c>
      <c r="B102" t="str">
        <f t="shared" si="3"/>
        <v>CS 105</v>
      </c>
      <c r="D102" t="str" cm="1">
        <f t="array" ref="D102">insertinto(A102:C102,$F$2:$G$4,"pr_Grades")</f>
        <v>insert into pr_Grades values ('20228839', 'CS 105', null);</v>
      </c>
      <c r="F102" s="14"/>
      <c r="G102" s="14"/>
      <c r="H102" s="14">
        <v>99</v>
      </c>
      <c r="I102" s="14"/>
      <c r="J102" s="14"/>
    </row>
    <row r="103" spans="1:10" x14ac:dyDescent="0.15">
      <c r="A103" s="32">
        <f t="shared" si="2"/>
        <v>20228839</v>
      </c>
      <c r="B103" t="str">
        <f t="shared" si="3"/>
        <v>ECO 110</v>
      </c>
      <c r="D103" t="str" cm="1">
        <f t="array" ref="D103">insertinto(A103:C103,$F$2:$G$4,"pr_Grades")</f>
        <v>insert into pr_Grades values ('20228839', 'ECO 110', null);</v>
      </c>
      <c r="F103" s="14"/>
      <c r="G103" s="14"/>
      <c r="H103" s="14">
        <v>100</v>
      </c>
      <c r="I103" s="14"/>
      <c r="J103" s="14"/>
    </row>
    <row r="104" spans="1:10" x14ac:dyDescent="0.15">
      <c r="A104" s="32">
        <f t="shared" si="2"/>
        <v>20228839</v>
      </c>
      <c r="B104" t="str">
        <f t="shared" si="3"/>
        <v>MATH 120</v>
      </c>
      <c r="D104" t="str" cm="1">
        <f t="array" ref="D104">insertinto(A104:C104,$F$2:$G$4,"pr_Grades")</f>
        <v>insert into pr_Grades values ('20228839', 'MATH 120', null);</v>
      </c>
      <c r="F104" s="14"/>
      <c r="G104" s="14"/>
      <c r="H104" s="14">
        <v>101</v>
      </c>
      <c r="I104" s="14"/>
      <c r="J104" s="14"/>
    </row>
    <row r="105" spans="1:10" x14ac:dyDescent="0.15">
      <c r="A105" s="32">
        <f t="shared" si="2"/>
        <v>20228839</v>
      </c>
      <c r="B105" t="str">
        <f t="shared" si="3"/>
        <v>ENG 102</v>
      </c>
      <c r="D105" t="str" cm="1">
        <f t="array" ref="D105">insertinto(A105:C105,$F$2:$G$4,"pr_Grades")</f>
        <v>insert into pr_Grades values ('20228839', 'ENG 102', null);</v>
      </c>
      <c r="F105" s="14"/>
      <c r="G105" s="14"/>
      <c r="H105" s="14">
        <v>102</v>
      </c>
      <c r="I105" s="14"/>
      <c r="J105" s="14"/>
    </row>
    <row r="106" spans="1:10" x14ac:dyDescent="0.15">
      <c r="A106" s="32">
        <f t="shared" si="2"/>
        <v>20228839</v>
      </c>
      <c r="B106" t="str">
        <f t="shared" si="3"/>
        <v>CS 106</v>
      </c>
      <c r="D106" t="str" cm="1">
        <f t="array" ref="D106">insertinto(A106:C106,$F$2:$G$4,"pr_Grades")</f>
        <v>insert into pr_Grades values ('20228839', 'CS 106', null);</v>
      </c>
      <c r="F106" s="14"/>
      <c r="G106" s="14"/>
      <c r="H106" s="14">
        <v>103</v>
      </c>
      <c r="I106" s="14"/>
      <c r="J106" s="14"/>
    </row>
    <row r="107" spans="1:10" x14ac:dyDescent="0.15">
      <c r="A107" s="32">
        <f t="shared" si="2"/>
        <v>20228839</v>
      </c>
      <c r="B107" t="str">
        <f t="shared" si="3"/>
        <v>CS 107</v>
      </c>
      <c r="D107" t="str" cm="1">
        <f t="array" ref="D107">insertinto(A107:C107,$F$2:$G$4,"pr_Grades")</f>
        <v>insert into pr_Grades values ('20228839', 'CS 107', null);</v>
      </c>
      <c r="F107" s="14"/>
      <c r="G107" s="14"/>
      <c r="H107" s="14">
        <v>104</v>
      </c>
      <c r="I107" s="14"/>
      <c r="J107" s="14"/>
    </row>
    <row r="108" spans="1:10" x14ac:dyDescent="0.15">
      <c r="A108" s="32">
        <f t="shared" si="2"/>
        <v>20228839</v>
      </c>
      <c r="B108" t="str">
        <f t="shared" si="3"/>
        <v>ART 120</v>
      </c>
      <c r="D108" t="str" cm="1">
        <f t="array" ref="D108">insertinto(A108:C108,$F$2:$G$4,"pr_Grades")</f>
        <v>insert into pr_Grades values ('20228839', 'ART 120', null);</v>
      </c>
      <c r="F108" s="14"/>
      <c r="G108" s="14"/>
      <c r="H108" s="14">
        <v>105</v>
      </c>
      <c r="I108" s="14"/>
      <c r="J108" s="14"/>
    </row>
    <row r="109" spans="1:10" x14ac:dyDescent="0.15">
      <c r="A109" s="32">
        <f t="shared" si="2"/>
        <v>20228839</v>
      </c>
      <c r="B109" t="str">
        <f t="shared" si="3"/>
        <v>HIS 120</v>
      </c>
      <c r="D109" t="str" cm="1">
        <f t="array" ref="D109">insertinto(A109:C109,$F$2:$G$4,"pr_Grades")</f>
        <v>insert into pr_Grades values ('20228839', 'HIS 120', null);</v>
      </c>
      <c r="F109" s="14"/>
      <c r="G109" s="14"/>
      <c r="H109" s="14">
        <v>106</v>
      </c>
      <c r="I109" s="14"/>
      <c r="J109" s="14"/>
    </row>
    <row r="110" spans="1:10" x14ac:dyDescent="0.15">
      <c r="A110" s="32">
        <f t="shared" si="2"/>
        <v>20228839</v>
      </c>
      <c r="B110" t="str">
        <f t="shared" si="3"/>
        <v>PHIL 101</v>
      </c>
      <c r="D110" t="str" cm="1">
        <f t="array" ref="D110">insertinto(A110:C110,$F$2:$G$4,"pr_Grades")</f>
        <v>insert into pr_Grades values ('20228839', 'PHIL 101', null);</v>
      </c>
      <c r="F110" s="14"/>
      <c r="G110" s="14"/>
      <c r="H110" s="14">
        <v>107</v>
      </c>
      <c r="I110" s="14"/>
      <c r="J110" s="14"/>
    </row>
    <row r="111" spans="1:10" x14ac:dyDescent="0.15">
      <c r="A111" s="32">
        <f t="shared" si="2"/>
        <v>20228839</v>
      </c>
      <c r="B111" t="str">
        <f t="shared" si="3"/>
        <v>POL 101</v>
      </c>
      <c r="D111" t="str" cm="1">
        <f t="array" ref="D111">insertinto(A111:C111,$F$2:$G$4,"pr_Grades")</f>
        <v>insert into pr_Grades values ('20228839', 'POL 101', null);</v>
      </c>
      <c r="F111" s="14"/>
      <c r="G111" s="14"/>
      <c r="H111" s="14">
        <v>108</v>
      </c>
      <c r="I111" s="14"/>
      <c r="J111" s="14"/>
    </row>
    <row r="112" spans="1:10" x14ac:dyDescent="0.15">
      <c r="A112" s="32">
        <f t="shared" si="2"/>
        <v>20228839</v>
      </c>
      <c r="B112" t="str">
        <f t="shared" si="3"/>
        <v>CS 205</v>
      </c>
      <c r="D112" t="str" cm="1">
        <f t="array" ref="D112">insertinto(A112:C112,$F$2:$G$4,"pr_Grades")</f>
        <v>insert into pr_Grades values ('20228839', 'CS 205', null);</v>
      </c>
      <c r="F112" s="14"/>
      <c r="G112" s="14"/>
      <c r="H112" s="14">
        <v>109</v>
      </c>
      <c r="I112" s="14"/>
      <c r="J112" s="14"/>
    </row>
    <row r="113" spans="1:10" x14ac:dyDescent="0.15">
      <c r="A113" s="32">
        <f t="shared" si="2"/>
        <v>20228839</v>
      </c>
      <c r="B113" t="str">
        <f t="shared" si="3"/>
        <v>CS 215</v>
      </c>
      <c r="D113" t="str" cm="1">
        <f t="array" ref="D113">insertinto(A113:C113,$F$2:$G$4,"pr_Grades")</f>
        <v>insert into pr_Grades values ('20228839', 'CS 215', null);</v>
      </c>
      <c r="F113" s="14"/>
      <c r="G113" s="14"/>
      <c r="H113" s="14">
        <v>110</v>
      </c>
      <c r="I113" s="14"/>
      <c r="J113" s="14"/>
    </row>
    <row r="114" spans="1:10" x14ac:dyDescent="0.15">
      <c r="A114" s="32">
        <f t="shared" si="2"/>
        <v>20227541</v>
      </c>
      <c r="B114" t="str">
        <f t="shared" si="3"/>
        <v>ENG 101</v>
      </c>
      <c r="D114" t="str" cm="1">
        <f t="array" ref="D114">insertinto(A114:C114,$F$2:$G$4,"pr_Grades")</f>
        <v>insert into pr_Grades values ('20227541', 'ENG 101', null);</v>
      </c>
      <c r="F114" s="14"/>
      <c r="G114" s="14"/>
      <c r="H114" s="14">
        <v>111</v>
      </c>
      <c r="I114" s="14"/>
      <c r="J114" s="14"/>
    </row>
    <row r="115" spans="1:10" x14ac:dyDescent="0.15">
      <c r="A115" s="32">
        <f t="shared" si="2"/>
        <v>20227541</v>
      </c>
      <c r="B115" t="str">
        <f t="shared" si="3"/>
        <v>CS 180</v>
      </c>
      <c r="D115" t="str" cm="1">
        <f t="array" ref="D115">insertinto(A115:C115,$F$2:$G$4,"pr_Grades")</f>
        <v>insert into pr_Grades values ('20227541', 'CS 180', null);</v>
      </c>
      <c r="F115" s="14"/>
      <c r="G115" s="14"/>
      <c r="H115" s="14">
        <v>112</v>
      </c>
      <c r="I115" s="14"/>
      <c r="J115" s="14"/>
    </row>
    <row r="116" spans="1:10" x14ac:dyDescent="0.15">
      <c r="A116" s="32">
        <f t="shared" si="2"/>
        <v>20227541</v>
      </c>
      <c r="B116" t="str">
        <f t="shared" si="3"/>
        <v>CS 105</v>
      </c>
      <c r="D116" t="str" cm="1">
        <f t="array" ref="D116">insertinto(A116:C116,$F$2:$G$4,"pr_Grades")</f>
        <v>insert into pr_Grades values ('20227541', 'CS 105', null);</v>
      </c>
      <c r="F116" s="14"/>
      <c r="G116" s="14"/>
      <c r="H116" s="14">
        <v>113</v>
      </c>
      <c r="I116" s="14"/>
      <c r="J116" s="14"/>
    </row>
    <row r="117" spans="1:10" x14ac:dyDescent="0.15">
      <c r="A117" s="32">
        <f t="shared" si="2"/>
        <v>20227541</v>
      </c>
      <c r="B117" t="str">
        <f t="shared" si="3"/>
        <v>ECO 110</v>
      </c>
      <c r="D117" t="str" cm="1">
        <f t="array" ref="D117">insertinto(A117:C117,$F$2:$G$4,"pr_Grades")</f>
        <v>insert into pr_Grades values ('20227541', 'ECO 110', null);</v>
      </c>
      <c r="F117" s="14"/>
      <c r="G117" s="14"/>
      <c r="H117" s="14">
        <v>114</v>
      </c>
      <c r="I117" s="14"/>
      <c r="J117" s="14"/>
    </row>
    <row r="118" spans="1:10" x14ac:dyDescent="0.15">
      <c r="A118" s="32">
        <f t="shared" si="2"/>
        <v>20227541</v>
      </c>
      <c r="B118" t="str">
        <f t="shared" si="3"/>
        <v>MATH 120</v>
      </c>
      <c r="D118" t="str" cm="1">
        <f t="array" ref="D118">insertinto(A118:C118,$F$2:$G$4,"pr_Grades")</f>
        <v>insert into pr_Grades values ('20227541', 'MATH 120', null);</v>
      </c>
      <c r="F118" s="14"/>
      <c r="G118" s="14"/>
      <c r="H118" s="14">
        <v>115</v>
      </c>
      <c r="I118" s="14"/>
      <c r="J118" s="14"/>
    </row>
    <row r="119" spans="1:10" x14ac:dyDescent="0.15">
      <c r="A119" s="32">
        <f t="shared" si="2"/>
        <v>20227541</v>
      </c>
      <c r="B119" t="str">
        <f t="shared" si="3"/>
        <v>ENG 102</v>
      </c>
      <c r="D119" t="str" cm="1">
        <f t="array" ref="D119">insertinto(A119:C119,$F$2:$G$4,"pr_Grades")</f>
        <v>insert into pr_Grades values ('20227541', 'ENG 102', null);</v>
      </c>
      <c r="F119" s="14"/>
      <c r="G119" s="14"/>
      <c r="H119" s="14">
        <v>116</v>
      </c>
      <c r="I119" s="14"/>
      <c r="J119" s="14"/>
    </row>
    <row r="120" spans="1:10" x14ac:dyDescent="0.15">
      <c r="A120" s="32">
        <f t="shared" si="2"/>
        <v>20227541</v>
      </c>
      <c r="B120" t="str">
        <f t="shared" si="3"/>
        <v>CS 106</v>
      </c>
      <c r="D120" t="str" cm="1">
        <f t="array" ref="D120">insertinto(A120:C120,$F$2:$G$4,"pr_Grades")</f>
        <v>insert into pr_Grades values ('20227541', 'CS 106', null);</v>
      </c>
      <c r="F120" s="14"/>
      <c r="G120" s="14"/>
      <c r="H120" s="14">
        <v>117</v>
      </c>
      <c r="I120" s="14"/>
      <c r="J120" s="14"/>
    </row>
    <row r="121" spans="1:10" x14ac:dyDescent="0.15">
      <c r="A121" s="32">
        <f t="shared" si="2"/>
        <v>20227541</v>
      </c>
      <c r="B121" t="str">
        <f t="shared" si="3"/>
        <v>CS 107</v>
      </c>
      <c r="D121" t="str" cm="1">
        <f t="array" ref="D121">insertinto(A121:C121,$F$2:$G$4,"pr_Grades")</f>
        <v>insert into pr_Grades values ('20227541', 'CS 107', null);</v>
      </c>
      <c r="F121" s="14"/>
      <c r="G121" s="14"/>
      <c r="H121" s="14">
        <v>118</v>
      </c>
      <c r="I121" s="14"/>
      <c r="J121" s="14"/>
    </row>
    <row r="122" spans="1:10" x14ac:dyDescent="0.15">
      <c r="A122" s="32">
        <f t="shared" si="2"/>
        <v>20227541</v>
      </c>
      <c r="B122" t="str">
        <f t="shared" si="3"/>
        <v>ART 120</v>
      </c>
      <c r="D122" t="str" cm="1">
        <f t="array" ref="D122">insertinto(A122:C122,$F$2:$G$4,"pr_Grades")</f>
        <v>insert into pr_Grades values ('20227541', 'ART 120', null);</v>
      </c>
      <c r="F122" s="14"/>
      <c r="G122" s="14"/>
      <c r="H122" s="14">
        <v>119</v>
      </c>
      <c r="I122" s="14"/>
      <c r="J122" s="14"/>
    </row>
    <row r="123" spans="1:10" x14ac:dyDescent="0.15">
      <c r="A123" s="32">
        <f t="shared" si="2"/>
        <v>20227541</v>
      </c>
      <c r="B123" t="str">
        <f t="shared" si="3"/>
        <v>HIS 120</v>
      </c>
      <c r="D123" t="str" cm="1">
        <f t="array" ref="D123">insertinto(A123:C123,$F$2:$G$4,"pr_Grades")</f>
        <v>insert into pr_Grades values ('20227541', 'HIS 120', null);</v>
      </c>
      <c r="F123" s="14"/>
      <c r="G123" s="14"/>
      <c r="H123" s="14">
        <v>120</v>
      </c>
      <c r="I123" s="14"/>
      <c r="J123" s="14"/>
    </row>
    <row r="124" spans="1:10" x14ac:dyDescent="0.15">
      <c r="A124" s="32">
        <f t="shared" si="2"/>
        <v>20227541</v>
      </c>
      <c r="B124" t="str">
        <f t="shared" si="3"/>
        <v>PHIL 101</v>
      </c>
      <c r="D124" t="str" cm="1">
        <f t="array" ref="D124">insertinto(A124:C124,$F$2:$G$4,"pr_Grades")</f>
        <v>insert into pr_Grades values ('20227541', 'PHIL 101', null);</v>
      </c>
      <c r="F124" s="14"/>
      <c r="G124" s="14"/>
      <c r="H124" s="14">
        <v>121</v>
      </c>
      <c r="I124" s="14"/>
      <c r="J124" s="14"/>
    </row>
    <row r="125" spans="1:10" x14ac:dyDescent="0.15">
      <c r="A125" s="32">
        <f t="shared" si="2"/>
        <v>20227541</v>
      </c>
      <c r="B125" t="str">
        <f t="shared" si="3"/>
        <v>POL 101</v>
      </c>
      <c r="D125" t="str" cm="1">
        <f t="array" ref="D125">insertinto(A125:C125,$F$2:$G$4,"pr_Grades")</f>
        <v>insert into pr_Grades values ('20227541', 'POL 101', null);</v>
      </c>
      <c r="F125" s="14"/>
      <c r="G125" s="14"/>
      <c r="H125" s="14">
        <v>122</v>
      </c>
      <c r="I125" s="14"/>
      <c r="J125" s="14"/>
    </row>
    <row r="126" spans="1:10" x14ac:dyDescent="0.15">
      <c r="A126" s="32">
        <f t="shared" si="2"/>
        <v>20227541</v>
      </c>
      <c r="B126" t="str">
        <f t="shared" si="3"/>
        <v>CS 205</v>
      </c>
      <c r="D126" t="str" cm="1">
        <f t="array" ref="D126">insertinto(A126:C126,$F$2:$G$4,"pr_Grades")</f>
        <v>insert into pr_Grades values ('20227541', 'CS 205', null);</v>
      </c>
      <c r="F126" s="14"/>
      <c r="G126" s="14"/>
      <c r="H126" s="14">
        <v>123</v>
      </c>
      <c r="I126" s="14"/>
      <c r="J126" s="14"/>
    </row>
    <row r="127" spans="1:10" x14ac:dyDescent="0.15">
      <c r="A127" s="32">
        <f t="shared" si="2"/>
        <v>20227541</v>
      </c>
      <c r="B127" t="str">
        <f t="shared" si="3"/>
        <v>CS 215</v>
      </c>
      <c r="D127" t="str" cm="1">
        <f t="array" ref="D127">insertinto(A127:C127,$F$2:$G$4,"pr_Grades")</f>
        <v>insert into pr_Grades values ('20227541', 'CS 215', null);</v>
      </c>
      <c r="F127" s="14"/>
      <c r="G127" s="14"/>
      <c r="H127" s="14">
        <v>124</v>
      </c>
      <c r="I127" s="14"/>
      <c r="J127" s="14"/>
    </row>
    <row r="128" spans="1:10" x14ac:dyDescent="0.15">
      <c r="A128" s="32">
        <f t="shared" si="2"/>
        <v>20227466</v>
      </c>
      <c r="B128" t="str">
        <f t="shared" si="3"/>
        <v>ENG 101</v>
      </c>
      <c r="D128" t="str" cm="1">
        <f t="array" ref="D128">insertinto(A128:C128,$F$2:$G$4,"pr_Grades")</f>
        <v>insert into pr_Grades values ('20227466', 'ENG 101', null);</v>
      </c>
      <c r="F128" s="14"/>
      <c r="G128" s="14"/>
      <c r="H128" s="14">
        <v>125</v>
      </c>
      <c r="I128" s="14"/>
      <c r="J128" s="14"/>
    </row>
    <row r="129" spans="1:10" x14ac:dyDescent="0.15">
      <c r="A129" s="32">
        <f t="shared" si="2"/>
        <v>20227466</v>
      </c>
      <c r="B129" t="str">
        <f t="shared" si="3"/>
        <v>CS 180</v>
      </c>
      <c r="D129" t="str" cm="1">
        <f t="array" ref="D129">insertinto(A129:C129,$F$2:$G$4,"pr_Grades")</f>
        <v>insert into pr_Grades values ('20227466', 'CS 180', null);</v>
      </c>
      <c r="F129" s="14"/>
      <c r="G129" s="14"/>
      <c r="H129" s="14">
        <v>126</v>
      </c>
      <c r="I129" s="14"/>
      <c r="J129" s="14"/>
    </row>
    <row r="130" spans="1:10" x14ac:dyDescent="0.15">
      <c r="A130" s="32">
        <f t="shared" si="2"/>
        <v>20227466</v>
      </c>
      <c r="B130" t="str">
        <f t="shared" si="3"/>
        <v>CS 105</v>
      </c>
      <c r="D130" t="str" cm="1">
        <f t="array" ref="D130">insertinto(A130:C130,$F$2:$G$4,"pr_Grades")</f>
        <v>insert into pr_Grades values ('20227466', 'CS 105', null);</v>
      </c>
      <c r="F130" s="14"/>
      <c r="G130" s="14"/>
      <c r="H130" s="14">
        <v>127</v>
      </c>
      <c r="I130" s="14"/>
      <c r="J130" s="14"/>
    </row>
    <row r="131" spans="1:10" x14ac:dyDescent="0.15">
      <c r="A131" s="32">
        <f t="shared" ref="A131:A194" si="4">INDEX($I$3:$I$22,INT(H132/14)+1)</f>
        <v>20227466</v>
      </c>
      <c r="B131" t="str">
        <f t="shared" ref="B131:B194" si="5">INDEX($J$3:$J$16,MOD(H132,14)+1)</f>
        <v>ECO 110</v>
      </c>
      <c r="D131" t="str" cm="1">
        <f t="array" ref="D131">insertinto(A131:C131,$F$2:$G$4,"pr_Grades")</f>
        <v>insert into pr_Grades values ('20227466', 'ECO 110', null);</v>
      </c>
      <c r="F131" s="14"/>
      <c r="G131" s="14"/>
      <c r="H131" s="14">
        <v>128</v>
      </c>
      <c r="I131" s="14"/>
      <c r="J131" s="14"/>
    </row>
    <row r="132" spans="1:10" x14ac:dyDescent="0.15">
      <c r="A132" s="32">
        <f t="shared" si="4"/>
        <v>20227466</v>
      </c>
      <c r="B132" t="str">
        <f t="shared" si="5"/>
        <v>MATH 120</v>
      </c>
      <c r="D132" t="str" cm="1">
        <f t="array" ref="D132">insertinto(A132:C132,$F$2:$G$4,"pr_Grades")</f>
        <v>insert into pr_Grades values ('20227466', 'MATH 120', null);</v>
      </c>
      <c r="F132" s="14"/>
      <c r="G132" s="14"/>
      <c r="H132" s="14">
        <v>129</v>
      </c>
      <c r="I132" s="14"/>
      <c r="J132" s="14"/>
    </row>
    <row r="133" spans="1:10" x14ac:dyDescent="0.15">
      <c r="A133" s="32">
        <f t="shared" si="4"/>
        <v>20227466</v>
      </c>
      <c r="B133" t="str">
        <f t="shared" si="5"/>
        <v>ENG 102</v>
      </c>
      <c r="D133" t="str" cm="1">
        <f t="array" ref="D133">insertinto(A133:C133,$F$2:$G$4,"pr_Grades")</f>
        <v>insert into pr_Grades values ('20227466', 'ENG 102', null);</v>
      </c>
      <c r="F133" s="14"/>
      <c r="G133" s="14"/>
      <c r="H133" s="14">
        <v>130</v>
      </c>
      <c r="I133" s="14"/>
      <c r="J133" s="14"/>
    </row>
    <row r="134" spans="1:10" x14ac:dyDescent="0.15">
      <c r="A134" s="32">
        <f t="shared" si="4"/>
        <v>20227466</v>
      </c>
      <c r="B134" t="str">
        <f t="shared" si="5"/>
        <v>CS 106</v>
      </c>
      <c r="D134" t="str" cm="1">
        <f t="array" ref="D134">insertinto(A134:C134,$F$2:$G$4,"pr_Grades")</f>
        <v>insert into pr_Grades values ('20227466', 'CS 106', null);</v>
      </c>
      <c r="F134" s="14"/>
      <c r="G134" s="14"/>
      <c r="H134" s="14">
        <v>131</v>
      </c>
      <c r="I134" s="14"/>
      <c r="J134" s="14"/>
    </row>
    <row r="135" spans="1:10" x14ac:dyDescent="0.15">
      <c r="A135" s="32">
        <f t="shared" si="4"/>
        <v>20227466</v>
      </c>
      <c r="B135" t="str">
        <f t="shared" si="5"/>
        <v>CS 107</v>
      </c>
      <c r="D135" t="str" cm="1">
        <f t="array" ref="D135">insertinto(A135:C135,$F$2:$G$4,"pr_Grades")</f>
        <v>insert into pr_Grades values ('20227466', 'CS 107', null);</v>
      </c>
      <c r="F135" s="14"/>
      <c r="G135" s="14"/>
      <c r="H135" s="14">
        <v>132</v>
      </c>
      <c r="I135" s="14"/>
      <c r="J135" s="14"/>
    </row>
    <row r="136" spans="1:10" x14ac:dyDescent="0.15">
      <c r="A136" s="32">
        <f t="shared" si="4"/>
        <v>20227466</v>
      </c>
      <c r="B136" t="str">
        <f t="shared" si="5"/>
        <v>ART 120</v>
      </c>
      <c r="D136" t="str" cm="1">
        <f t="array" ref="D136">insertinto(A136:C136,$F$2:$G$4,"pr_Grades")</f>
        <v>insert into pr_Grades values ('20227466', 'ART 120', null);</v>
      </c>
      <c r="F136" s="14"/>
      <c r="G136" s="14"/>
      <c r="H136" s="14">
        <v>133</v>
      </c>
      <c r="I136" s="14"/>
      <c r="J136" s="14"/>
    </row>
    <row r="137" spans="1:10" x14ac:dyDescent="0.15">
      <c r="A137" s="32">
        <f t="shared" si="4"/>
        <v>20227466</v>
      </c>
      <c r="B137" t="str">
        <f t="shared" si="5"/>
        <v>HIS 120</v>
      </c>
      <c r="D137" t="str" cm="1">
        <f t="array" ref="D137">insertinto(A137:C137,$F$2:$G$4,"pr_Grades")</f>
        <v>insert into pr_Grades values ('20227466', 'HIS 120', null);</v>
      </c>
      <c r="F137" s="14"/>
      <c r="G137" s="14"/>
      <c r="H137" s="14">
        <v>134</v>
      </c>
      <c r="I137" s="14"/>
      <c r="J137" s="14"/>
    </row>
    <row r="138" spans="1:10" x14ac:dyDescent="0.15">
      <c r="A138" s="32">
        <f t="shared" si="4"/>
        <v>20227466</v>
      </c>
      <c r="B138" t="str">
        <f t="shared" si="5"/>
        <v>PHIL 101</v>
      </c>
      <c r="D138" t="str" cm="1">
        <f t="array" ref="D138">insertinto(A138:C138,$F$2:$G$4,"pr_Grades")</f>
        <v>insert into pr_Grades values ('20227466', 'PHIL 101', null);</v>
      </c>
      <c r="F138" s="14"/>
      <c r="G138" s="14"/>
      <c r="H138" s="14">
        <v>135</v>
      </c>
      <c r="I138" s="14"/>
      <c r="J138" s="14"/>
    </row>
    <row r="139" spans="1:10" x14ac:dyDescent="0.15">
      <c r="A139" s="32">
        <f t="shared" si="4"/>
        <v>20227466</v>
      </c>
      <c r="B139" t="str">
        <f t="shared" si="5"/>
        <v>POL 101</v>
      </c>
      <c r="D139" t="str" cm="1">
        <f t="array" ref="D139">insertinto(A139:C139,$F$2:$G$4,"pr_Grades")</f>
        <v>insert into pr_Grades values ('20227466', 'POL 101', null);</v>
      </c>
      <c r="F139" s="14"/>
      <c r="G139" s="14"/>
      <c r="H139" s="14">
        <v>136</v>
      </c>
      <c r="I139" s="14"/>
      <c r="J139" s="14"/>
    </row>
    <row r="140" spans="1:10" x14ac:dyDescent="0.15">
      <c r="A140" s="32">
        <f t="shared" si="4"/>
        <v>20227466</v>
      </c>
      <c r="B140" t="str">
        <f t="shared" si="5"/>
        <v>CS 205</v>
      </c>
      <c r="D140" t="str" cm="1">
        <f t="array" ref="D140">insertinto(A140:C140,$F$2:$G$4,"pr_Grades")</f>
        <v>insert into pr_Grades values ('20227466', 'CS 205', null);</v>
      </c>
      <c r="F140" s="14"/>
      <c r="G140" s="14"/>
      <c r="H140" s="14">
        <v>137</v>
      </c>
      <c r="I140" s="14"/>
      <c r="J140" s="14"/>
    </row>
    <row r="141" spans="1:10" x14ac:dyDescent="0.15">
      <c r="A141" s="32">
        <f t="shared" si="4"/>
        <v>20227466</v>
      </c>
      <c r="B141" t="str">
        <f t="shared" si="5"/>
        <v>CS 215</v>
      </c>
      <c r="D141" t="str" cm="1">
        <f t="array" ref="D141">insertinto(A141:C141,$F$2:$G$4,"pr_Grades")</f>
        <v>insert into pr_Grades values ('20227466', 'CS 215', null);</v>
      </c>
      <c r="F141" s="14"/>
      <c r="G141" s="14"/>
      <c r="H141" s="14">
        <v>138</v>
      </c>
      <c r="I141" s="14"/>
      <c r="J141" s="14"/>
    </row>
    <row r="142" spans="1:10" x14ac:dyDescent="0.15">
      <c r="A142" s="32">
        <f t="shared" si="4"/>
        <v>20226221</v>
      </c>
      <c r="B142" t="str">
        <f t="shared" si="5"/>
        <v>ENG 101</v>
      </c>
      <c r="D142" t="str" cm="1">
        <f t="array" ref="D142">insertinto(A142:C142,$F$2:$G$4,"pr_Grades")</f>
        <v>insert into pr_Grades values ('20226221', 'ENG 101', null);</v>
      </c>
      <c r="F142" s="14"/>
      <c r="G142" s="14"/>
      <c r="H142" s="14">
        <v>139</v>
      </c>
      <c r="I142" s="14"/>
      <c r="J142" s="14"/>
    </row>
    <row r="143" spans="1:10" x14ac:dyDescent="0.15">
      <c r="A143" s="32">
        <f t="shared" si="4"/>
        <v>20226221</v>
      </c>
      <c r="B143" t="str">
        <f t="shared" si="5"/>
        <v>CS 180</v>
      </c>
      <c r="D143" t="str" cm="1">
        <f t="array" ref="D143">insertinto(A143:C143,$F$2:$G$4,"pr_Grades")</f>
        <v>insert into pr_Grades values ('20226221', 'CS 180', null);</v>
      </c>
      <c r="F143" s="14"/>
      <c r="G143" s="14"/>
      <c r="H143" s="14">
        <v>140</v>
      </c>
      <c r="I143" s="14"/>
      <c r="J143" s="14"/>
    </row>
    <row r="144" spans="1:10" x14ac:dyDescent="0.15">
      <c r="A144" s="32">
        <f t="shared" si="4"/>
        <v>20226221</v>
      </c>
      <c r="B144" t="str">
        <f t="shared" si="5"/>
        <v>CS 105</v>
      </c>
      <c r="D144" t="str" cm="1">
        <f t="array" ref="D144">insertinto(A144:C144,$F$2:$G$4,"pr_Grades")</f>
        <v>insert into pr_Grades values ('20226221', 'CS 105', null);</v>
      </c>
      <c r="F144" s="14"/>
      <c r="G144" s="14"/>
      <c r="H144" s="14">
        <v>141</v>
      </c>
      <c r="I144" s="14"/>
      <c r="J144" s="14"/>
    </row>
    <row r="145" spans="1:10" x14ac:dyDescent="0.15">
      <c r="A145" s="32">
        <f t="shared" si="4"/>
        <v>20226221</v>
      </c>
      <c r="B145" t="str">
        <f t="shared" si="5"/>
        <v>ECO 110</v>
      </c>
      <c r="D145" t="str" cm="1">
        <f t="array" ref="D145">insertinto(A145:C145,$F$2:$G$4,"pr_Grades")</f>
        <v>insert into pr_Grades values ('20226221', 'ECO 110', null);</v>
      </c>
      <c r="F145" s="14"/>
      <c r="G145" s="14"/>
      <c r="H145" s="14">
        <v>142</v>
      </c>
      <c r="I145" s="14"/>
      <c r="J145" s="14"/>
    </row>
    <row r="146" spans="1:10" x14ac:dyDescent="0.15">
      <c r="A146" s="32">
        <f t="shared" si="4"/>
        <v>20226221</v>
      </c>
      <c r="B146" t="str">
        <f t="shared" si="5"/>
        <v>MATH 120</v>
      </c>
      <c r="D146" t="str" cm="1">
        <f t="array" ref="D146">insertinto(A146:C146,$F$2:$G$4,"pr_Grades")</f>
        <v>insert into pr_Grades values ('20226221', 'MATH 120', null);</v>
      </c>
      <c r="F146" s="14"/>
      <c r="G146" s="14"/>
      <c r="H146" s="14">
        <v>143</v>
      </c>
      <c r="I146" s="14"/>
      <c r="J146" s="14"/>
    </row>
    <row r="147" spans="1:10" x14ac:dyDescent="0.15">
      <c r="A147" s="32">
        <f t="shared" si="4"/>
        <v>20226221</v>
      </c>
      <c r="B147" t="str">
        <f t="shared" si="5"/>
        <v>ENG 102</v>
      </c>
      <c r="D147" t="str" cm="1">
        <f t="array" ref="D147">insertinto(A147:C147,$F$2:$G$4,"pr_Grades")</f>
        <v>insert into pr_Grades values ('20226221', 'ENG 102', null);</v>
      </c>
      <c r="F147" s="14"/>
      <c r="G147" s="14"/>
      <c r="H147" s="14">
        <v>144</v>
      </c>
      <c r="I147" s="14"/>
      <c r="J147" s="14"/>
    </row>
    <row r="148" spans="1:10" x14ac:dyDescent="0.15">
      <c r="A148" s="32">
        <f t="shared" si="4"/>
        <v>20226221</v>
      </c>
      <c r="B148" t="str">
        <f t="shared" si="5"/>
        <v>CS 106</v>
      </c>
      <c r="D148" t="str" cm="1">
        <f t="array" ref="D148">insertinto(A148:C148,$F$2:$G$4,"pr_Grades")</f>
        <v>insert into pr_Grades values ('20226221', 'CS 106', null);</v>
      </c>
      <c r="F148" s="14"/>
      <c r="G148" s="14"/>
      <c r="H148" s="14">
        <v>145</v>
      </c>
      <c r="I148" s="14"/>
      <c r="J148" s="14"/>
    </row>
    <row r="149" spans="1:10" x14ac:dyDescent="0.15">
      <c r="A149" s="32">
        <f t="shared" si="4"/>
        <v>20226221</v>
      </c>
      <c r="B149" t="str">
        <f t="shared" si="5"/>
        <v>CS 107</v>
      </c>
      <c r="D149" t="str" cm="1">
        <f t="array" ref="D149">insertinto(A149:C149,$F$2:$G$4,"pr_Grades")</f>
        <v>insert into pr_Grades values ('20226221', 'CS 107', null);</v>
      </c>
      <c r="F149" s="14"/>
      <c r="G149" s="14"/>
      <c r="H149" s="14">
        <v>146</v>
      </c>
      <c r="I149" s="14"/>
      <c r="J149" s="14"/>
    </row>
    <row r="150" spans="1:10" x14ac:dyDescent="0.15">
      <c r="A150" s="32">
        <f t="shared" si="4"/>
        <v>20226221</v>
      </c>
      <c r="B150" t="str">
        <f t="shared" si="5"/>
        <v>ART 120</v>
      </c>
      <c r="D150" t="str" cm="1">
        <f t="array" ref="D150">insertinto(A150:C150,$F$2:$G$4,"pr_Grades")</f>
        <v>insert into pr_Grades values ('20226221', 'ART 120', null);</v>
      </c>
      <c r="F150" s="14"/>
      <c r="G150" s="14"/>
      <c r="H150" s="14">
        <v>147</v>
      </c>
      <c r="I150" s="14"/>
      <c r="J150" s="14"/>
    </row>
    <row r="151" spans="1:10" x14ac:dyDescent="0.15">
      <c r="A151" s="32">
        <f t="shared" si="4"/>
        <v>20226221</v>
      </c>
      <c r="B151" t="str">
        <f t="shared" si="5"/>
        <v>HIS 120</v>
      </c>
      <c r="D151" t="str" cm="1">
        <f t="array" ref="D151">insertinto(A151:C151,$F$2:$G$4,"pr_Grades")</f>
        <v>insert into pr_Grades values ('20226221', 'HIS 120', null);</v>
      </c>
      <c r="F151" s="14"/>
      <c r="G151" s="14"/>
      <c r="H151" s="14">
        <v>148</v>
      </c>
      <c r="I151" s="14"/>
      <c r="J151" s="14"/>
    </row>
    <row r="152" spans="1:10" x14ac:dyDescent="0.15">
      <c r="A152" s="32">
        <f t="shared" si="4"/>
        <v>20226221</v>
      </c>
      <c r="B152" t="str">
        <f t="shared" si="5"/>
        <v>PHIL 101</v>
      </c>
      <c r="D152" t="str" cm="1">
        <f t="array" ref="D152">insertinto(A152:C152,$F$2:$G$4,"pr_Grades")</f>
        <v>insert into pr_Grades values ('20226221', 'PHIL 101', null);</v>
      </c>
      <c r="F152" s="14"/>
      <c r="G152" s="14"/>
      <c r="H152" s="14">
        <v>149</v>
      </c>
      <c r="I152" s="14"/>
      <c r="J152" s="14"/>
    </row>
    <row r="153" spans="1:10" x14ac:dyDescent="0.15">
      <c r="A153" s="32">
        <f t="shared" si="4"/>
        <v>20226221</v>
      </c>
      <c r="B153" t="str">
        <f t="shared" si="5"/>
        <v>POL 101</v>
      </c>
      <c r="D153" t="str" cm="1">
        <f t="array" ref="D153">insertinto(A153:C153,$F$2:$G$4,"pr_Grades")</f>
        <v>insert into pr_Grades values ('20226221', 'POL 101', null);</v>
      </c>
      <c r="F153" s="14"/>
      <c r="G153" s="14"/>
      <c r="H153" s="14">
        <v>150</v>
      </c>
      <c r="I153" s="14"/>
      <c r="J153" s="14"/>
    </row>
    <row r="154" spans="1:10" x14ac:dyDescent="0.15">
      <c r="A154" s="32">
        <f t="shared" si="4"/>
        <v>20226221</v>
      </c>
      <c r="B154" t="str">
        <f t="shared" si="5"/>
        <v>CS 205</v>
      </c>
      <c r="D154" t="str" cm="1">
        <f t="array" ref="D154">insertinto(A154:C154,$F$2:$G$4,"pr_Grades")</f>
        <v>insert into pr_Grades values ('20226221', 'CS 205', null);</v>
      </c>
      <c r="F154" s="14"/>
      <c r="G154" s="14"/>
      <c r="H154" s="14">
        <v>151</v>
      </c>
      <c r="I154" s="14"/>
      <c r="J154" s="14"/>
    </row>
    <row r="155" spans="1:10" x14ac:dyDescent="0.15">
      <c r="A155" s="32">
        <f t="shared" si="4"/>
        <v>20226221</v>
      </c>
      <c r="B155" t="str">
        <f t="shared" si="5"/>
        <v>CS 215</v>
      </c>
      <c r="D155" t="str" cm="1">
        <f t="array" ref="D155">insertinto(A155:C155,$F$2:$G$4,"pr_Grades")</f>
        <v>insert into pr_Grades values ('20226221', 'CS 215', null);</v>
      </c>
      <c r="F155" s="14"/>
      <c r="G155" s="14"/>
      <c r="H155" s="14">
        <v>152</v>
      </c>
      <c r="I155" s="14"/>
      <c r="J155" s="14"/>
    </row>
    <row r="156" spans="1:10" x14ac:dyDescent="0.15">
      <c r="A156" s="32">
        <f t="shared" si="4"/>
        <v>20224946</v>
      </c>
      <c r="B156" t="str">
        <f t="shared" si="5"/>
        <v>ENG 101</v>
      </c>
      <c r="D156" t="str" cm="1">
        <f t="array" ref="D156">insertinto(A156:C156,$F$2:$G$4,"pr_Grades")</f>
        <v>insert into pr_Grades values ('20224946', 'ENG 101', null);</v>
      </c>
      <c r="F156" s="14"/>
      <c r="G156" s="14"/>
      <c r="H156" s="14">
        <v>153</v>
      </c>
      <c r="I156" s="14"/>
      <c r="J156" s="14"/>
    </row>
    <row r="157" spans="1:10" x14ac:dyDescent="0.15">
      <c r="A157" s="32">
        <f t="shared" si="4"/>
        <v>20224946</v>
      </c>
      <c r="B157" t="str">
        <f t="shared" si="5"/>
        <v>CS 180</v>
      </c>
      <c r="D157" t="str" cm="1">
        <f t="array" ref="D157">insertinto(A157:C157,$F$2:$G$4,"pr_Grades")</f>
        <v>insert into pr_Grades values ('20224946', 'CS 180', null);</v>
      </c>
      <c r="F157" s="14"/>
      <c r="G157" s="14"/>
      <c r="H157" s="14">
        <v>154</v>
      </c>
      <c r="I157" s="14"/>
      <c r="J157" s="14"/>
    </row>
    <row r="158" spans="1:10" x14ac:dyDescent="0.15">
      <c r="A158" s="32">
        <f t="shared" si="4"/>
        <v>20224946</v>
      </c>
      <c r="B158" t="str">
        <f t="shared" si="5"/>
        <v>CS 105</v>
      </c>
      <c r="D158" t="str" cm="1">
        <f t="array" ref="D158">insertinto(A158:C158,$F$2:$G$4,"pr_Grades")</f>
        <v>insert into pr_Grades values ('20224946', 'CS 105', null);</v>
      </c>
      <c r="F158" s="14"/>
      <c r="G158" s="14"/>
      <c r="H158" s="14">
        <v>155</v>
      </c>
      <c r="I158" s="14"/>
      <c r="J158" s="14"/>
    </row>
    <row r="159" spans="1:10" x14ac:dyDescent="0.15">
      <c r="A159" s="32">
        <f t="shared" si="4"/>
        <v>20224946</v>
      </c>
      <c r="B159" t="str">
        <f t="shared" si="5"/>
        <v>ECO 110</v>
      </c>
      <c r="D159" t="str" cm="1">
        <f t="array" ref="D159">insertinto(A159:C159,$F$2:$G$4,"pr_Grades")</f>
        <v>insert into pr_Grades values ('20224946', 'ECO 110', null);</v>
      </c>
      <c r="F159" s="14"/>
      <c r="G159" s="14"/>
      <c r="H159" s="14">
        <v>156</v>
      </c>
      <c r="I159" s="14"/>
      <c r="J159" s="14"/>
    </row>
    <row r="160" spans="1:10" x14ac:dyDescent="0.15">
      <c r="A160" s="32">
        <f t="shared" si="4"/>
        <v>20224946</v>
      </c>
      <c r="B160" t="str">
        <f t="shared" si="5"/>
        <v>MATH 120</v>
      </c>
      <c r="D160" t="str" cm="1">
        <f t="array" ref="D160">insertinto(A160:C160,$F$2:$G$4,"pr_Grades")</f>
        <v>insert into pr_Grades values ('20224946', 'MATH 120', null);</v>
      </c>
      <c r="F160" s="14"/>
      <c r="G160" s="14"/>
      <c r="H160" s="14">
        <v>157</v>
      </c>
      <c r="I160" s="14"/>
      <c r="J160" s="14"/>
    </row>
    <row r="161" spans="1:10" x14ac:dyDescent="0.15">
      <c r="A161" s="32">
        <f t="shared" si="4"/>
        <v>20224946</v>
      </c>
      <c r="B161" t="str">
        <f t="shared" si="5"/>
        <v>ENG 102</v>
      </c>
      <c r="D161" t="str" cm="1">
        <f t="array" ref="D161">insertinto(A161:C161,$F$2:$G$4,"pr_Grades")</f>
        <v>insert into pr_Grades values ('20224946', 'ENG 102', null);</v>
      </c>
      <c r="F161" s="14"/>
      <c r="G161" s="14"/>
      <c r="H161" s="14">
        <v>158</v>
      </c>
      <c r="I161" s="14"/>
      <c r="J161" s="14"/>
    </row>
    <row r="162" spans="1:10" x14ac:dyDescent="0.15">
      <c r="A162" s="32">
        <f t="shared" si="4"/>
        <v>20224946</v>
      </c>
      <c r="B162" t="str">
        <f t="shared" si="5"/>
        <v>CS 106</v>
      </c>
      <c r="D162" t="str" cm="1">
        <f t="array" ref="D162">insertinto(A162:C162,$F$2:$G$4,"pr_Grades")</f>
        <v>insert into pr_Grades values ('20224946', 'CS 106', null);</v>
      </c>
      <c r="F162" s="14"/>
      <c r="G162" s="14"/>
      <c r="H162" s="14">
        <v>159</v>
      </c>
      <c r="I162" s="14"/>
      <c r="J162" s="14"/>
    </row>
    <row r="163" spans="1:10" x14ac:dyDescent="0.15">
      <c r="A163" s="32">
        <f t="shared" si="4"/>
        <v>20224946</v>
      </c>
      <c r="B163" t="str">
        <f t="shared" si="5"/>
        <v>CS 107</v>
      </c>
      <c r="D163" t="str" cm="1">
        <f t="array" ref="D163">insertinto(A163:C163,$F$2:$G$4,"pr_Grades")</f>
        <v>insert into pr_Grades values ('20224946', 'CS 107', null);</v>
      </c>
      <c r="F163" s="14"/>
      <c r="G163" s="14"/>
      <c r="H163" s="14">
        <v>160</v>
      </c>
      <c r="I163" s="14"/>
      <c r="J163" s="14"/>
    </row>
    <row r="164" spans="1:10" x14ac:dyDescent="0.15">
      <c r="A164" s="32">
        <f t="shared" si="4"/>
        <v>20224946</v>
      </c>
      <c r="B164" t="str">
        <f t="shared" si="5"/>
        <v>ART 120</v>
      </c>
      <c r="D164" t="str" cm="1">
        <f t="array" ref="D164">insertinto(A164:C164,$F$2:$G$4,"pr_Grades")</f>
        <v>insert into pr_Grades values ('20224946', 'ART 120', null);</v>
      </c>
      <c r="F164" s="14"/>
      <c r="G164" s="14"/>
      <c r="H164" s="14">
        <v>161</v>
      </c>
      <c r="I164" s="14"/>
      <c r="J164" s="14"/>
    </row>
    <row r="165" spans="1:10" x14ac:dyDescent="0.15">
      <c r="A165" s="32">
        <f t="shared" si="4"/>
        <v>20224946</v>
      </c>
      <c r="B165" t="str">
        <f t="shared" si="5"/>
        <v>HIS 120</v>
      </c>
      <c r="D165" t="str" cm="1">
        <f t="array" ref="D165">insertinto(A165:C165,$F$2:$G$4,"pr_Grades")</f>
        <v>insert into pr_Grades values ('20224946', 'HIS 120', null);</v>
      </c>
      <c r="F165" s="14"/>
      <c r="G165" s="14"/>
      <c r="H165" s="14">
        <v>162</v>
      </c>
      <c r="I165" s="14"/>
      <c r="J165" s="14"/>
    </row>
    <row r="166" spans="1:10" x14ac:dyDescent="0.15">
      <c r="A166" s="32">
        <f t="shared" si="4"/>
        <v>20224946</v>
      </c>
      <c r="B166" t="str">
        <f t="shared" si="5"/>
        <v>PHIL 101</v>
      </c>
      <c r="D166" t="str" cm="1">
        <f t="array" ref="D166">insertinto(A166:C166,$F$2:$G$4,"pr_Grades")</f>
        <v>insert into pr_Grades values ('20224946', 'PHIL 101', null);</v>
      </c>
      <c r="F166" s="14"/>
      <c r="G166" s="14"/>
      <c r="H166" s="14">
        <v>163</v>
      </c>
      <c r="I166" s="14"/>
      <c r="J166" s="14"/>
    </row>
    <row r="167" spans="1:10" x14ac:dyDescent="0.15">
      <c r="A167" s="32">
        <f t="shared" si="4"/>
        <v>20224946</v>
      </c>
      <c r="B167" t="str">
        <f t="shared" si="5"/>
        <v>POL 101</v>
      </c>
      <c r="D167" t="str" cm="1">
        <f t="array" ref="D167">insertinto(A167:C167,$F$2:$G$4,"pr_Grades")</f>
        <v>insert into pr_Grades values ('20224946', 'POL 101', null);</v>
      </c>
      <c r="F167" s="14"/>
      <c r="G167" s="14"/>
      <c r="H167" s="14">
        <v>164</v>
      </c>
      <c r="I167" s="14"/>
      <c r="J167" s="14"/>
    </row>
    <row r="168" spans="1:10" x14ac:dyDescent="0.15">
      <c r="A168" s="32">
        <f t="shared" si="4"/>
        <v>20224946</v>
      </c>
      <c r="B168" t="str">
        <f t="shared" si="5"/>
        <v>CS 205</v>
      </c>
      <c r="D168" t="str" cm="1">
        <f t="array" ref="D168">insertinto(A168:C168,$F$2:$G$4,"pr_Grades")</f>
        <v>insert into pr_Grades values ('20224946', 'CS 205', null);</v>
      </c>
      <c r="F168" s="14"/>
      <c r="G168" s="14"/>
      <c r="H168" s="14">
        <v>165</v>
      </c>
      <c r="I168" s="14"/>
      <c r="J168" s="14"/>
    </row>
    <row r="169" spans="1:10" x14ac:dyDescent="0.15">
      <c r="A169" s="32">
        <f t="shared" si="4"/>
        <v>20224946</v>
      </c>
      <c r="B169" t="str">
        <f t="shared" si="5"/>
        <v>CS 215</v>
      </c>
      <c r="D169" t="str" cm="1">
        <f t="array" ref="D169">insertinto(A169:C169,$F$2:$G$4,"pr_Grades")</f>
        <v>insert into pr_Grades values ('20224946', 'CS 215', null);</v>
      </c>
      <c r="F169" s="14"/>
      <c r="G169" s="14"/>
      <c r="H169" s="14">
        <v>166</v>
      </c>
      <c r="I169" s="14"/>
      <c r="J169" s="14"/>
    </row>
    <row r="170" spans="1:10" x14ac:dyDescent="0.15">
      <c r="A170" s="32">
        <f t="shared" si="4"/>
        <v>20227782</v>
      </c>
      <c r="B170" t="str">
        <f t="shared" si="5"/>
        <v>ENG 101</v>
      </c>
      <c r="D170" t="str" cm="1">
        <f t="array" ref="D170">insertinto(A170:C170,$F$2:$G$4,"pr_Grades")</f>
        <v>insert into pr_Grades values ('20227782', 'ENG 101', null);</v>
      </c>
      <c r="F170" s="14"/>
      <c r="G170" s="14"/>
      <c r="H170" s="14">
        <v>167</v>
      </c>
      <c r="I170" s="14"/>
      <c r="J170" s="14"/>
    </row>
    <row r="171" spans="1:10" x14ac:dyDescent="0.15">
      <c r="A171" s="32">
        <f t="shared" si="4"/>
        <v>20227782</v>
      </c>
      <c r="B171" t="str">
        <f t="shared" si="5"/>
        <v>CS 180</v>
      </c>
      <c r="D171" t="str" cm="1">
        <f t="array" ref="D171">insertinto(A171:C171,$F$2:$G$4,"pr_Grades")</f>
        <v>insert into pr_Grades values ('20227782', 'CS 180', null);</v>
      </c>
      <c r="F171" s="14"/>
      <c r="G171" s="14"/>
      <c r="H171" s="14">
        <v>168</v>
      </c>
      <c r="I171" s="14"/>
      <c r="J171" s="14"/>
    </row>
    <row r="172" spans="1:10" x14ac:dyDescent="0.15">
      <c r="A172" s="32">
        <f t="shared" si="4"/>
        <v>20227782</v>
      </c>
      <c r="B172" t="str">
        <f t="shared" si="5"/>
        <v>CS 105</v>
      </c>
      <c r="D172" t="str" cm="1">
        <f t="array" ref="D172">insertinto(A172:C172,$F$2:$G$4,"pr_Grades")</f>
        <v>insert into pr_Grades values ('20227782', 'CS 105', null);</v>
      </c>
      <c r="F172" s="14"/>
      <c r="G172" s="14"/>
      <c r="H172" s="14">
        <v>169</v>
      </c>
      <c r="I172" s="14"/>
      <c r="J172" s="14"/>
    </row>
    <row r="173" spans="1:10" x14ac:dyDescent="0.15">
      <c r="A173" s="32">
        <f t="shared" si="4"/>
        <v>20227782</v>
      </c>
      <c r="B173" t="str">
        <f t="shared" si="5"/>
        <v>ECO 110</v>
      </c>
      <c r="D173" t="str" cm="1">
        <f t="array" ref="D173">insertinto(A173:C173,$F$2:$G$4,"pr_Grades")</f>
        <v>insert into pr_Grades values ('20227782', 'ECO 110', null);</v>
      </c>
      <c r="F173" s="14"/>
      <c r="G173" s="14"/>
      <c r="H173" s="14">
        <v>170</v>
      </c>
      <c r="I173" s="14"/>
      <c r="J173" s="14"/>
    </row>
    <row r="174" spans="1:10" x14ac:dyDescent="0.15">
      <c r="A174" s="32">
        <f t="shared" si="4"/>
        <v>20227782</v>
      </c>
      <c r="B174" t="str">
        <f t="shared" si="5"/>
        <v>MATH 120</v>
      </c>
      <c r="D174" t="str" cm="1">
        <f t="array" ref="D174">insertinto(A174:C174,$F$2:$G$4,"pr_Grades")</f>
        <v>insert into pr_Grades values ('20227782', 'MATH 120', null);</v>
      </c>
      <c r="F174" s="14"/>
      <c r="G174" s="14"/>
      <c r="H174" s="14">
        <v>171</v>
      </c>
      <c r="I174" s="14"/>
      <c r="J174" s="14"/>
    </row>
    <row r="175" spans="1:10" x14ac:dyDescent="0.15">
      <c r="A175" s="32">
        <f t="shared" si="4"/>
        <v>20227782</v>
      </c>
      <c r="B175" t="str">
        <f t="shared" si="5"/>
        <v>ENG 102</v>
      </c>
      <c r="D175" t="str" cm="1">
        <f t="array" ref="D175">insertinto(A175:C175,$F$2:$G$4,"pr_Grades")</f>
        <v>insert into pr_Grades values ('20227782', 'ENG 102', null);</v>
      </c>
      <c r="F175" s="14"/>
      <c r="G175" s="14"/>
      <c r="H175" s="14">
        <v>172</v>
      </c>
      <c r="I175" s="14"/>
      <c r="J175" s="14"/>
    </row>
    <row r="176" spans="1:10" x14ac:dyDescent="0.15">
      <c r="A176" s="32">
        <f t="shared" si="4"/>
        <v>20227782</v>
      </c>
      <c r="B176" t="str">
        <f t="shared" si="5"/>
        <v>CS 106</v>
      </c>
      <c r="D176" t="str" cm="1">
        <f t="array" ref="D176">insertinto(A176:C176,$F$2:$G$4,"pr_Grades")</f>
        <v>insert into pr_Grades values ('20227782', 'CS 106', null);</v>
      </c>
      <c r="F176" s="14"/>
      <c r="G176" s="14"/>
      <c r="H176" s="14">
        <v>173</v>
      </c>
      <c r="I176" s="14"/>
      <c r="J176" s="14"/>
    </row>
    <row r="177" spans="1:10" x14ac:dyDescent="0.15">
      <c r="A177" s="32">
        <f t="shared" si="4"/>
        <v>20227782</v>
      </c>
      <c r="B177" t="str">
        <f t="shared" si="5"/>
        <v>CS 107</v>
      </c>
      <c r="D177" t="str" cm="1">
        <f t="array" ref="D177">insertinto(A177:C177,$F$2:$G$4,"pr_Grades")</f>
        <v>insert into pr_Grades values ('20227782', 'CS 107', null);</v>
      </c>
      <c r="F177" s="14"/>
      <c r="G177" s="14"/>
      <c r="H177" s="14">
        <v>174</v>
      </c>
      <c r="I177" s="14"/>
      <c r="J177" s="14"/>
    </row>
    <row r="178" spans="1:10" x14ac:dyDescent="0.15">
      <c r="A178" s="32">
        <f t="shared" si="4"/>
        <v>20227782</v>
      </c>
      <c r="B178" t="str">
        <f t="shared" si="5"/>
        <v>ART 120</v>
      </c>
      <c r="D178" t="str" cm="1">
        <f t="array" ref="D178">insertinto(A178:C178,$F$2:$G$4,"pr_Grades")</f>
        <v>insert into pr_Grades values ('20227782', 'ART 120', null);</v>
      </c>
      <c r="F178" s="14"/>
      <c r="G178" s="14"/>
      <c r="H178" s="14">
        <v>175</v>
      </c>
      <c r="I178" s="14"/>
      <c r="J178" s="14"/>
    </row>
    <row r="179" spans="1:10" x14ac:dyDescent="0.15">
      <c r="A179" s="32">
        <f t="shared" si="4"/>
        <v>20227782</v>
      </c>
      <c r="B179" t="str">
        <f t="shared" si="5"/>
        <v>HIS 120</v>
      </c>
      <c r="D179" t="str" cm="1">
        <f t="array" ref="D179">insertinto(A179:C179,$F$2:$G$4,"pr_Grades")</f>
        <v>insert into pr_Grades values ('20227782', 'HIS 120', null);</v>
      </c>
      <c r="F179" s="14"/>
      <c r="G179" s="14"/>
      <c r="H179" s="14">
        <v>176</v>
      </c>
      <c r="I179" s="14"/>
      <c r="J179" s="14"/>
    </row>
    <row r="180" spans="1:10" x14ac:dyDescent="0.15">
      <c r="A180" s="32">
        <f t="shared" si="4"/>
        <v>20227782</v>
      </c>
      <c r="B180" t="str">
        <f t="shared" si="5"/>
        <v>PHIL 101</v>
      </c>
      <c r="D180" t="str" cm="1">
        <f t="array" ref="D180">insertinto(A180:C180,$F$2:$G$4,"pr_Grades")</f>
        <v>insert into pr_Grades values ('20227782', 'PHIL 101', null);</v>
      </c>
      <c r="F180" s="14"/>
      <c r="G180" s="14"/>
      <c r="H180" s="14">
        <v>177</v>
      </c>
      <c r="I180" s="14"/>
      <c r="J180" s="14"/>
    </row>
    <row r="181" spans="1:10" x14ac:dyDescent="0.15">
      <c r="A181" s="32">
        <f t="shared" si="4"/>
        <v>20227782</v>
      </c>
      <c r="B181" t="str">
        <f t="shared" si="5"/>
        <v>POL 101</v>
      </c>
      <c r="D181" t="str" cm="1">
        <f t="array" ref="D181">insertinto(A181:C181,$F$2:$G$4,"pr_Grades")</f>
        <v>insert into pr_Grades values ('20227782', 'POL 101', null);</v>
      </c>
      <c r="F181" s="14"/>
      <c r="G181" s="14"/>
      <c r="H181" s="14">
        <v>178</v>
      </c>
      <c r="I181" s="14"/>
      <c r="J181" s="14"/>
    </row>
    <row r="182" spans="1:10" x14ac:dyDescent="0.15">
      <c r="A182" s="32">
        <f t="shared" si="4"/>
        <v>20227782</v>
      </c>
      <c r="B182" t="str">
        <f t="shared" si="5"/>
        <v>CS 205</v>
      </c>
      <c r="D182" t="str" cm="1">
        <f t="array" ref="D182">insertinto(A182:C182,$F$2:$G$4,"pr_Grades")</f>
        <v>insert into pr_Grades values ('20227782', 'CS 205', null);</v>
      </c>
      <c r="F182" s="14"/>
      <c r="G182" s="14"/>
      <c r="H182" s="14">
        <v>179</v>
      </c>
      <c r="I182" s="14"/>
      <c r="J182" s="14"/>
    </row>
    <row r="183" spans="1:10" x14ac:dyDescent="0.15">
      <c r="A183" s="32">
        <f t="shared" si="4"/>
        <v>20227782</v>
      </c>
      <c r="B183" t="str">
        <f t="shared" si="5"/>
        <v>CS 215</v>
      </c>
      <c r="D183" t="str" cm="1">
        <f t="array" ref="D183">insertinto(A183:C183,$F$2:$G$4,"pr_Grades")</f>
        <v>insert into pr_Grades values ('20227782', 'CS 215', null);</v>
      </c>
      <c r="F183" s="14"/>
      <c r="G183" s="14"/>
      <c r="H183" s="14">
        <v>180</v>
      </c>
      <c r="I183" s="14"/>
      <c r="J183" s="14"/>
    </row>
    <row r="184" spans="1:10" x14ac:dyDescent="0.15">
      <c r="A184" s="32">
        <f t="shared" si="4"/>
        <v>20227177</v>
      </c>
      <c r="B184" t="str">
        <f t="shared" si="5"/>
        <v>ENG 101</v>
      </c>
      <c r="D184" t="str" cm="1">
        <f t="array" ref="D184">insertinto(A184:C184,$F$2:$G$4,"pr_Grades")</f>
        <v>insert into pr_Grades values ('20227177', 'ENG 101', null);</v>
      </c>
      <c r="F184" s="14"/>
      <c r="G184" s="14"/>
      <c r="H184" s="14">
        <v>181</v>
      </c>
      <c r="I184" s="14"/>
      <c r="J184" s="14"/>
    </row>
    <row r="185" spans="1:10" x14ac:dyDescent="0.15">
      <c r="A185" s="32">
        <f t="shared" si="4"/>
        <v>20227177</v>
      </c>
      <c r="B185" t="str">
        <f t="shared" si="5"/>
        <v>CS 180</v>
      </c>
      <c r="D185" t="str" cm="1">
        <f t="array" ref="D185">insertinto(A185:C185,$F$2:$G$4,"pr_Grades")</f>
        <v>insert into pr_Grades values ('20227177', 'CS 180', null);</v>
      </c>
      <c r="F185" s="14"/>
      <c r="G185" s="14"/>
      <c r="H185" s="14">
        <v>182</v>
      </c>
      <c r="I185" s="14"/>
      <c r="J185" s="14"/>
    </row>
    <row r="186" spans="1:10" x14ac:dyDescent="0.15">
      <c r="A186" s="32">
        <f t="shared" si="4"/>
        <v>20227177</v>
      </c>
      <c r="B186" t="str">
        <f t="shared" si="5"/>
        <v>CS 105</v>
      </c>
      <c r="D186" t="str" cm="1">
        <f t="array" ref="D186">insertinto(A186:C186,$F$2:$G$4,"pr_Grades")</f>
        <v>insert into pr_Grades values ('20227177', 'CS 105', null);</v>
      </c>
      <c r="F186" s="14"/>
      <c r="G186" s="14"/>
      <c r="H186" s="14">
        <v>183</v>
      </c>
      <c r="I186" s="14"/>
      <c r="J186" s="14"/>
    </row>
    <row r="187" spans="1:10" x14ac:dyDescent="0.15">
      <c r="A187" s="32">
        <f t="shared" si="4"/>
        <v>20227177</v>
      </c>
      <c r="B187" t="str">
        <f t="shared" si="5"/>
        <v>ECO 110</v>
      </c>
      <c r="D187" t="str" cm="1">
        <f t="array" ref="D187">insertinto(A187:C187,$F$2:$G$4,"pr_Grades")</f>
        <v>insert into pr_Grades values ('20227177', 'ECO 110', null);</v>
      </c>
      <c r="F187" s="14"/>
      <c r="G187" s="14"/>
      <c r="H187" s="14">
        <v>184</v>
      </c>
      <c r="I187" s="14"/>
      <c r="J187" s="14"/>
    </row>
    <row r="188" spans="1:10" x14ac:dyDescent="0.15">
      <c r="A188" s="32">
        <f t="shared" si="4"/>
        <v>20227177</v>
      </c>
      <c r="B188" t="str">
        <f t="shared" si="5"/>
        <v>MATH 120</v>
      </c>
      <c r="D188" t="str" cm="1">
        <f t="array" ref="D188">insertinto(A188:C188,$F$2:$G$4,"pr_Grades")</f>
        <v>insert into pr_Grades values ('20227177', 'MATH 120', null);</v>
      </c>
      <c r="F188" s="14"/>
      <c r="G188" s="14"/>
      <c r="H188" s="14">
        <v>185</v>
      </c>
      <c r="I188" s="14"/>
      <c r="J188" s="14"/>
    </row>
    <row r="189" spans="1:10" x14ac:dyDescent="0.15">
      <c r="A189" s="32">
        <f t="shared" si="4"/>
        <v>20227177</v>
      </c>
      <c r="B189" t="str">
        <f t="shared" si="5"/>
        <v>ENG 102</v>
      </c>
      <c r="D189" t="str" cm="1">
        <f t="array" ref="D189">insertinto(A189:C189,$F$2:$G$4,"pr_Grades")</f>
        <v>insert into pr_Grades values ('20227177', 'ENG 102', null);</v>
      </c>
      <c r="F189" s="14"/>
      <c r="G189" s="14"/>
      <c r="H189" s="14">
        <v>186</v>
      </c>
      <c r="I189" s="14"/>
      <c r="J189" s="14"/>
    </row>
    <row r="190" spans="1:10" x14ac:dyDescent="0.15">
      <c r="A190" s="32">
        <f t="shared" si="4"/>
        <v>20227177</v>
      </c>
      <c r="B190" t="str">
        <f t="shared" si="5"/>
        <v>CS 106</v>
      </c>
      <c r="D190" t="str" cm="1">
        <f t="array" ref="D190">insertinto(A190:C190,$F$2:$G$4,"pr_Grades")</f>
        <v>insert into pr_Grades values ('20227177', 'CS 106', null);</v>
      </c>
      <c r="F190" s="14"/>
      <c r="G190" s="14"/>
      <c r="H190" s="14">
        <v>187</v>
      </c>
      <c r="I190" s="14"/>
      <c r="J190" s="14"/>
    </row>
    <row r="191" spans="1:10" x14ac:dyDescent="0.15">
      <c r="A191" s="32">
        <f t="shared" si="4"/>
        <v>20227177</v>
      </c>
      <c r="B191" t="str">
        <f t="shared" si="5"/>
        <v>CS 107</v>
      </c>
      <c r="D191" t="str" cm="1">
        <f t="array" ref="D191">insertinto(A191:C191,$F$2:$G$4,"pr_Grades")</f>
        <v>insert into pr_Grades values ('20227177', 'CS 107', null);</v>
      </c>
      <c r="F191" s="14"/>
      <c r="G191" s="14"/>
      <c r="H191" s="14">
        <v>188</v>
      </c>
      <c r="I191" s="14"/>
      <c r="J191" s="14"/>
    </row>
    <row r="192" spans="1:10" x14ac:dyDescent="0.15">
      <c r="A192" s="32">
        <f t="shared" si="4"/>
        <v>20227177</v>
      </c>
      <c r="B192" t="str">
        <f t="shared" si="5"/>
        <v>ART 120</v>
      </c>
      <c r="D192" t="str" cm="1">
        <f t="array" ref="D192">insertinto(A192:C192,$F$2:$G$4,"pr_Grades")</f>
        <v>insert into pr_Grades values ('20227177', 'ART 120', null);</v>
      </c>
      <c r="F192" s="14"/>
      <c r="G192" s="14"/>
      <c r="H192" s="14">
        <v>189</v>
      </c>
      <c r="I192" s="14"/>
      <c r="J192" s="14"/>
    </row>
    <row r="193" spans="1:10" x14ac:dyDescent="0.15">
      <c r="A193" s="32">
        <f t="shared" si="4"/>
        <v>20227177</v>
      </c>
      <c r="B193" t="str">
        <f t="shared" si="5"/>
        <v>HIS 120</v>
      </c>
      <c r="D193" t="str" cm="1">
        <f t="array" ref="D193">insertinto(A193:C193,$F$2:$G$4,"pr_Grades")</f>
        <v>insert into pr_Grades values ('20227177', 'HIS 120', null);</v>
      </c>
      <c r="F193" s="14"/>
      <c r="G193" s="14"/>
      <c r="H193" s="14">
        <v>190</v>
      </c>
      <c r="I193" s="14"/>
      <c r="J193" s="14"/>
    </row>
    <row r="194" spans="1:10" x14ac:dyDescent="0.15">
      <c r="A194" s="32">
        <f t="shared" si="4"/>
        <v>20227177</v>
      </c>
      <c r="B194" t="str">
        <f t="shared" si="5"/>
        <v>PHIL 101</v>
      </c>
      <c r="D194" t="str" cm="1">
        <f t="array" ref="D194">insertinto(A194:C194,$F$2:$G$4,"pr_Grades")</f>
        <v>insert into pr_Grades values ('20227177', 'PHIL 101', null);</v>
      </c>
      <c r="F194" s="14"/>
      <c r="G194" s="14"/>
      <c r="H194" s="14">
        <v>191</v>
      </c>
      <c r="I194" s="14"/>
      <c r="J194" s="14"/>
    </row>
    <row r="195" spans="1:10" x14ac:dyDescent="0.15">
      <c r="A195" s="32">
        <f t="shared" ref="A195:A258" si="6">INDEX($I$3:$I$22,INT(H196/14)+1)</f>
        <v>20227177</v>
      </c>
      <c r="B195" t="str">
        <f t="shared" ref="B195:B258" si="7">INDEX($J$3:$J$16,MOD(H196,14)+1)</f>
        <v>POL 101</v>
      </c>
      <c r="D195" t="str" cm="1">
        <f t="array" ref="D195">insertinto(A195:C195,$F$2:$G$4,"pr_Grades")</f>
        <v>insert into pr_Grades values ('20227177', 'POL 101', null);</v>
      </c>
      <c r="F195" s="14"/>
      <c r="G195" s="14"/>
      <c r="H195" s="14">
        <v>192</v>
      </c>
      <c r="I195" s="14"/>
      <c r="J195" s="14"/>
    </row>
    <row r="196" spans="1:10" x14ac:dyDescent="0.15">
      <c r="A196" s="32">
        <f t="shared" si="6"/>
        <v>20227177</v>
      </c>
      <c r="B196" t="str">
        <f t="shared" si="7"/>
        <v>CS 205</v>
      </c>
      <c r="D196" t="str" cm="1">
        <f t="array" ref="D196">insertinto(A196:C196,$F$2:$G$4,"pr_Grades")</f>
        <v>insert into pr_Grades values ('20227177', 'CS 205', null);</v>
      </c>
      <c r="F196" s="14"/>
      <c r="G196" s="14"/>
      <c r="H196" s="14">
        <v>193</v>
      </c>
      <c r="I196" s="14"/>
      <c r="J196" s="14"/>
    </row>
    <row r="197" spans="1:10" x14ac:dyDescent="0.15">
      <c r="A197" s="32">
        <f t="shared" si="6"/>
        <v>20227177</v>
      </c>
      <c r="B197" t="str">
        <f t="shared" si="7"/>
        <v>CS 215</v>
      </c>
      <c r="D197" t="str" cm="1">
        <f t="array" ref="D197">insertinto(A197:C197,$F$2:$G$4,"pr_Grades")</f>
        <v>insert into pr_Grades values ('20227177', 'CS 215', null);</v>
      </c>
      <c r="F197" s="14"/>
      <c r="G197" s="14"/>
      <c r="H197" s="14">
        <v>194</v>
      </c>
      <c r="I197" s="14"/>
      <c r="J197" s="14"/>
    </row>
    <row r="198" spans="1:10" x14ac:dyDescent="0.15">
      <c r="A198" s="32">
        <f t="shared" si="6"/>
        <v>20221564</v>
      </c>
      <c r="B198" t="str">
        <f t="shared" si="7"/>
        <v>ENG 101</v>
      </c>
      <c r="D198" t="str" cm="1">
        <f t="array" ref="D198">insertinto(A198:C198,$F$2:$G$4,"pr_Grades")</f>
        <v>insert into pr_Grades values ('20221564', 'ENG 101', null);</v>
      </c>
      <c r="F198" s="14"/>
      <c r="G198" s="14"/>
      <c r="H198" s="14">
        <v>195</v>
      </c>
      <c r="I198" s="14"/>
      <c r="J198" s="14"/>
    </row>
    <row r="199" spans="1:10" x14ac:dyDescent="0.15">
      <c r="A199" s="32">
        <f t="shared" si="6"/>
        <v>20221564</v>
      </c>
      <c r="B199" t="str">
        <f t="shared" si="7"/>
        <v>CS 180</v>
      </c>
      <c r="D199" t="str" cm="1">
        <f t="array" ref="D199">insertinto(A199:C199,$F$2:$G$4,"pr_Grades")</f>
        <v>insert into pr_Grades values ('20221564', 'CS 180', null);</v>
      </c>
      <c r="F199" s="14"/>
      <c r="G199" s="14"/>
      <c r="H199" s="14">
        <v>196</v>
      </c>
      <c r="I199" s="14"/>
      <c r="J199" s="14"/>
    </row>
    <row r="200" spans="1:10" x14ac:dyDescent="0.15">
      <c r="A200" s="32">
        <f t="shared" si="6"/>
        <v>20221564</v>
      </c>
      <c r="B200" t="str">
        <f t="shared" si="7"/>
        <v>CS 105</v>
      </c>
      <c r="D200" t="str" cm="1">
        <f t="array" ref="D200">insertinto(A200:C200,$F$2:$G$4,"pr_Grades")</f>
        <v>insert into pr_Grades values ('20221564', 'CS 105', null);</v>
      </c>
      <c r="F200" s="14"/>
      <c r="G200" s="14"/>
      <c r="H200" s="14">
        <v>197</v>
      </c>
      <c r="I200" s="14"/>
      <c r="J200" s="14"/>
    </row>
    <row r="201" spans="1:10" x14ac:dyDescent="0.15">
      <c r="A201" s="32">
        <f t="shared" si="6"/>
        <v>20221564</v>
      </c>
      <c r="B201" t="str">
        <f t="shared" si="7"/>
        <v>ECO 110</v>
      </c>
      <c r="D201" t="str" cm="1">
        <f t="array" ref="D201">insertinto(A201:C201,$F$2:$G$4,"pr_Grades")</f>
        <v>insert into pr_Grades values ('20221564', 'ECO 110', null);</v>
      </c>
      <c r="F201" s="14"/>
      <c r="G201" s="14"/>
      <c r="H201" s="14">
        <v>198</v>
      </c>
      <c r="I201" s="14"/>
      <c r="J201" s="14"/>
    </row>
    <row r="202" spans="1:10" x14ac:dyDescent="0.15">
      <c r="A202" s="32">
        <f t="shared" si="6"/>
        <v>20221564</v>
      </c>
      <c r="B202" t="str">
        <f t="shared" si="7"/>
        <v>MATH 120</v>
      </c>
      <c r="D202" t="str" cm="1">
        <f t="array" ref="D202">insertinto(A202:C202,$F$2:$G$4,"pr_Grades")</f>
        <v>insert into pr_Grades values ('20221564', 'MATH 120', null);</v>
      </c>
      <c r="F202" s="14"/>
      <c r="G202" s="14"/>
      <c r="H202" s="14">
        <v>199</v>
      </c>
      <c r="I202" s="14"/>
      <c r="J202" s="14"/>
    </row>
    <row r="203" spans="1:10" x14ac:dyDescent="0.15">
      <c r="A203" s="32">
        <f t="shared" si="6"/>
        <v>20221564</v>
      </c>
      <c r="B203" t="str">
        <f t="shared" si="7"/>
        <v>ENG 102</v>
      </c>
      <c r="D203" t="str" cm="1">
        <f t="array" ref="D203">insertinto(A203:C203,$F$2:$G$4,"pr_Grades")</f>
        <v>insert into pr_Grades values ('20221564', 'ENG 102', null);</v>
      </c>
      <c r="F203" s="14"/>
      <c r="G203" s="14"/>
      <c r="H203" s="14">
        <v>200</v>
      </c>
      <c r="I203" s="14"/>
      <c r="J203" s="14"/>
    </row>
    <row r="204" spans="1:10" x14ac:dyDescent="0.15">
      <c r="A204" s="32">
        <f t="shared" si="6"/>
        <v>20221564</v>
      </c>
      <c r="B204" t="str">
        <f t="shared" si="7"/>
        <v>CS 106</v>
      </c>
      <c r="D204" t="str" cm="1">
        <f t="array" ref="D204">insertinto(A204:C204,$F$2:$G$4,"pr_Grades")</f>
        <v>insert into pr_Grades values ('20221564', 'CS 106', null);</v>
      </c>
      <c r="F204" s="14"/>
      <c r="G204" s="14"/>
      <c r="H204" s="14">
        <v>201</v>
      </c>
      <c r="I204" s="14"/>
      <c r="J204" s="14"/>
    </row>
    <row r="205" spans="1:10" x14ac:dyDescent="0.15">
      <c r="A205" s="32">
        <f t="shared" si="6"/>
        <v>20221564</v>
      </c>
      <c r="B205" t="str">
        <f t="shared" si="7"/>
        <v>CS 107</v>
      </c>
      <c r="D205" t="str" cm="1">
        <f t="array" ref="D205">insertinto(A205:C205,$F$2:$G$4,"pr_Grades")</f>
        <v>insert into pr_Grades values ('20221564', 'CS 107', null);</v>
      </c>
      <c r="F205" s="14"/>
      <c r="G205" s="14"/>
      <c r="H205" s="14">
        <v>202</v>
      </c>
      <c r="I205" s="14"/>
      <c r="J205" s="14"/>
    </row>
    <row r="206" spans="1:10" x14ac:dyDescent="0.15">
      <c r="A206" s="32">
        <f t="shared" si="6"/>
        <v>20221564</v>
      </c>
      <c r="B206" t="str">
        <f t="shared" si="7"/>
        <v>ART 120</v>
      </c>
      <c r="D206" t="str" cm="1">
        <f t="array" ref="D206">insertinto(A206:C206,$F$2:$G$4,"pr_Grades")</f>
        <v>insert into pr_Grades values ('20221564', 'ART 120', null);</v>
      </c>
      <c r="F206" s="14"/>
      <c r="G206" s="14"/>
      <c r="H206" s="14">
        <v>203</v>
      </c>
      <c r="I206" s="14"/>
      <c r="J206" s="14"/>
    </row>
    <row r="207" spans="1:10" x14ac:dyDescent="0.15">
      <c r="A207" s="32">
        <f t="shared" si="6"/>
        <v>20221564</v>
      </c>
      <c r="B207" t="str">
        <f t="shared" si="7"/>
        <v>HIS 120</v>
      </c>
      <c r="D207" t="str" cm="1">
        <f t="array" ref="D207">insertinto(A207:C207,$F$2:$G$4,"pr_Grades")</f>
        <v>insert into pr_Grades values ('20221564', 'HIS 120', null);</v>
      </c>
      <c r="F207" s="14"/>
      <c r="G207" s="14"/>
      <c r="H207" s="14">
        <v>204</v>
      </c>
      <c r="I207" s="14"/>
      <c r="J207" s="14"/>
    </row>
    <row r="208" spans="1:10" x14ac:dyDescent="0.15">
      <c r="A208" s="32">
        <f t="shared" si="6"/>
        <v>20221564</v>
      </c>
      <c r="B208" t="str">
        <f t="shared" si="7"/>
        <v>PHIL 101</v>
      </c>
      <c r="D208" t="str" cm="1">
        <f t="array" ref="D208">insertinto(A208:C208,$F$2:$G$4,"pr_Grades")</f>
        <v>insert into pr_Grades values ('20221564', 'PHIL 101', null);</v>
      </c>
      <c r="F208" s="14"/>
      <c r="G208" s="14"/>
      <c r="H208" s="14">
        <v>205</v>
      </c>
      <c r="I208" s="14"/>
      <c r="J208" s="14"/>
    </row>
    <row r="209" spans="1:10" x14ac:dyDescent="0.15">
      <c r="A209" s="32">
        <f t="shared" si="6"/>
        <v>20221564</v>
      </c>
      <c r="B209" t="str">
        <f t="shared" si="7"/>
        <v>POL 101</v>
      </c>
      <c r="D209" t="str" cm="1">
        <f t="array" ref="D209">insertinto(A209:C209,$F$2:$G$4,"pr_Grades")</f>
        <v>insert into pr_Grades values ('20221564', 'POL 101', null);</v>
      </c>
      <c r="F209" s="14"/>
      <c r="G209" s="14"/>
      <c r="H209" s="14">
        <v>206</v>
      </c>
      <c r="I209" s="14"/>
      <c r="J209" s="14"/>
    </row>
    <row r="210" spans="1:10" x14ac:dyDescent="0.15">
      <c r="A210" s="32">
        <f t="shared" si="6"/>
        <v>20221564</v>
      </c>
      <c r="B210" t="str">
        <f t="shared" si="7"/>
        <v>CS 205</v>
      </c>
      <c r="D210" t="str" cm="1">
        <f t="array" ref="D210">insertinto(A210:C210,$F$2:$G$4,"pr_Grades")</f>
        <v>insert into pr_Grades values ('20221564', 'CS 205', null);</v>
      </c>
      <c r="F210" s="14"/>
      <c r="G210" s="14"/>
      <c r="H210" s="14">
        <v>207</v>
      </c>
      <c r="I210" s="14"/>
      <c r="J210" s="14"/>
    </row>
    <row r="211" spans="1:10" x14ac:dyDescent="0.15">
      <c r="A211" s="32">
        <f t="shared" si="6"/>
        <v>20221564</v>
      </c>
      <c r="B211" t="str">
        <f t="shared" si="7"/>
        <v>CS 215</v>
      </c>
      <c r="D211" t="str" cm="1">
        <f t="array" ref="D211">insertinto(A211:C211,$F$2:$G$4,"pr_Grades")</f>
        <v>insert into pr_Grades values ('20221564', 'CS 215', null);</v>
      </c>
      <c r="F211" s="14"/>
      <c r="G211" s="14"/>
      <c r="H211" s="14">
        <v>208</v>
      </c>
      <c r="I211" s="14"/>
      <c r="J211" s="14"/>
    </row>
    <row r="212" spans="1:10" x14ac:dyDescent="0.15">
      <c r="A212" s="32">
        <f t="shared" si="6"/>
        <v>20224484</v>
      </c>
      <c r="B212" t="str">
        <f t="shared" si="7"/>
        <v>ENG 101</v>
      </c>
      <c r="D212" t="str" cm="1">
        <f t="array" ref="D212">insertinto(A212:C212,$F$2:$G$4,"pr_Grades")</f>
        <v>insert into pr_Grades values ('20224484', 'ENG 101', null);</v>
      </c>
      <c r="F212" s="14"/>
      <c r="G212" s="14"/>
      <c r="H212" s="14">
        <v>209</v>
      </c>
      <c r="I212" s="14"/>
      <c r="J212" s="14"/>
    </row>
    <row r="213" spans="1:10" x14ac:dyDescent="0.15">
      <c r="A213" s="32">
        <f t="shared" si="6"/>
        <v>20224484</v>
      </c>
      <c r="B213" t="str">
        <f t="shared" si="7"/>
        <v>CS 180</v>
      </c>
      <c r="D213" t="str" cm="1">
        <f t="array" ref="D213">insertinto(A213:C213,$F$2:$G$4,"pr_Grades")</f>
        <v>insert into pr_Grades values ('20224484', 'CS 180', null);</v>
      </c>
      <c r="F213" s="14"/>
      <c r="G213" s="14"/>
      <c r="H213" s="14">
        <v>210</v>
      </c>
      <c r="I213" s="14"/>
      <c r="J213" s="14"/>
    </row>
    <row r="214" spans="1:10" x14ac:dyDescent="0.15">
      <c r="A214" s="32">
        <f t="shared" si="6"/>
        <v>20224484</v>
      </c>
      <c r="B214" t="str">
        <f t="shared" si="7"/>
        <v>CS 105</v>
      </c>
      <c r="D214" t="str" cm="1">
        <f t="array" ref="D214">insertinto(A214:C214,$F$2:$G$4,"pr_Grades")</f>
        <v>insert into pr_Grades values ('20224484', 'CS 105', null);</v>
      </c>
      <c r="F214" s="14"/>
      <c r="G214" s="14"/>
      <c r="H214" s="14">
        <v>211</v>
      </c>
      <c r="I214" s="14"/>
      <c r="J214" s="14"/>
    </row>
    <row r="215" spans="1:10" x14ac:dyDescent="0.15">
      <c r="A215" s="32">
        <f t="shared" si="6"/>
        <v>20224484</v>
      </c>
      <c r="B215" t="str">
        <f t="shared" si="7"/>
        <v>ECO 110</v>
      </c>
      <c r="D215" t="str" cm="1">
        <f t="array" ref="D215">insertinto(A215:C215,$F$2:$G$4,"pr_Grades")</f>
        <v>insert into pr_Grades values ('20224484', 'ECO 110', null);</v>
      </c>
      <c r="F215" s="14"/>
      <c r="G215" s="14"/>
      <c r="H215" s="14">
        <v>212</v>
      </c>
      <c r="I215" s="14"/>
      <c r="J215" s="14"/>
    </row>
    <row r="216" spans="1:10" x14ac:dyDescent="0.15">
      <c r="A216" s="32">
        <f t="shared" si="6"/>
        <v>20224484</v>
      </c>
      <c r="B216" t="str">
        <f t="shared" si="7"/>
        <v>MATH 120</v>
      </c>
      <c r="D216" t="str" cm="1">
        <f t="array" ref="D216">insertinto(A216:C216,$F$2:$G$4,"pr_Grades")</f>
        <v>insert into pr_Grades values ('20224484', 'MATH 120', null);</v>
      </c>
      <c r="F216" s="14"/>
      <c r="G216" s="14"/>
      <c r="H216" s="14">
        <v>213</v>
      </c>
      <c r="I216" s="14"/>
      <c r="J216" s="14"/>
    </row>
    <row r="217" spans="1:10" x14ac:dyDescent="0.15">
      <c r="A217" s="32">
        <f t="shared" si="6"/>
        <v>20224484</v>
      </c>
      <c r="B217" t="str">
        <f t="shared" si="7"/>
        <v>ENG 102</v>
      </c>
      <c r="D217" t="str" cm="1">
        <f t="array" ref="D217">insertinto(A217:C217,$F$2:$G$4,"pr_Grades")</f>
        <v>insert into pr_Grades values ('20224484', 'ENG 102', null);</v>
      </c>
      <c r="F217" s="14"/>
      <c r="G217" s="14"/>
      <c r="H217" s="14">
        <v>214</v>
      </c>
      <c r="I217" s="14"/>
      <c r="J217" s="14"/>
    </row>
    <row r="218" spans="1:10" x14ac:dyDescent="0.15">
      <c r="A218" s="32">
        <f t="shared" si="6"/>
        <v>20224484</v>
      </c>
      <c r="B218" t="str">
        <f t="shared" si="7"/>
        <v>CS 106</v>
      </c>
      <c r="D218" t="str" cm="1">
        <f t="array" ref="D218">insertinto(A218:C218,$F$2:$G$4,"pr_Grades")</f>
        <v>insert into pr_Grades values ('20224484', 'CS 106', null);</v>
      </c>
      <c r="F218" s="14"/>
      <c r="G218" s="14"/>
      <c r="H218" s="14">
        <v>215</v>
      </c>
      <c r="I218" s="14"/>
      <c r="J218" s="14"/>
    </row>
    <row r="219" spans="1:10" x14ac:dyDescent="0.15">
      <c r="A219" s="32">
        <f t="shared" si="6"/>
        <v>20224484</v>
      </c>
      <c r="B219" t="str">
        <f t="shared" si="7"/>
        <v>CS 107</v>
      </c>
      <c r="D219" t="str" cm="1">
        <f t="array" ref="D219">insertinto(A219:C219,$F$2:$G$4,"pr_Grades")</f>
        <v>insert into pr_Grades values ('20224484', 'CS 107', null);</v>
      </c>
      <c r="F219" s="14"/>
      <c r="G219" s="14"/>
      <c r="H219" s="14">
        <v>216</v>
      </c>
      <c r="I219" s="14"/>
      <c r="J219" s="14"/>
    </row>
    <row r="220" spans="1:10" x14ac:dyDescent="0.15">
      <c r="A220" s="32">
        <f t="shared" si="6"/>
        <v>20224484</v>
      </c>
      <c r="B220" t="str">
        <f t="shared" si="7"/>
        <v>ART 120</v>
      </c>
      <c r="D220" t="str" cm="1">
        <f t="array" ref="D220">insertinto(A220:C220,$F$2:$G$4,"pr_Grades")</f>
        <v>insert into pr_Grades values ('20224484', 'ART 120', null);</v>
      </c>
      <c r="F220" s="14"/>
      <c r="G220" s="14"/>
      <c r="H220" s="14">
        <v>217</v>
      </c>
      <c r="I220" s="14"/>
      <c r="J220" s="14"/>
    </row>
    <row r="221" spans="1:10" x14ac:dyDescent="0.15">
      <c r="A221" s="32">
        <f t="shared" si="6"/>
        <v>20224484</v>
      </c>
      <c r="B221" t="str">
        <f t="shared" si="7"/>
        <v>HIS 120</v>
      </c>
      <c r="D221" t="str" cm="1">
        <f t="array" ref="D221">insertinto(A221:C221,$F$2:$G$4,"pr_Grades")</f>
        <v>insert into pr_Grades values ('20224484', 'HIS 120', null);</v>
      </c>
      <c r="F221" s="14"/>
      <c r="G221" s="14"/>
      <c r="H221" s="14">
        <v>218</v>
      </c>
      <c r="I221" s="14"/>
      <c r="J221" s="14"/>
    </row>
    <row r="222" spans="1:10" x14ac:dyDescent="0.15">
      <c r="A222" s="32">
        <f t="shared" si="6"/>
        <v>20224484</v>
      </c>
      <c r="B222" t="str">
        <f t="shared" si="7"/>
        <v>PHIL 101</v>
      </c>
      <c r="D222" t="str" cm="1">
        <f t="array" ref="D222">insertinto(A222:C222,$F$2:$G$4,"pr_Grades")</f>
        <v>insert into pr_Grades values ('20224484', 'PHIL 101', null);</v>
      </c>
      <c r="F222" s="14"/>
      <c r="G222" s="14"/>
      <c r="H222" s="14">
        <v>219</v>
      </c>
      <c r="I222" s="14"/>
      <c r="J222" s="14"/>
    </row>
    <row r="223" spans="1:10" x14ac:dyDescent="0.15">
      <c r="A223" s="32">
        <f t="shared" si="6"/>
        <v>20224484</v>
      </c>
      <c r="B223" t="str">
        <f t="shared" si="7"/>
        <v>POL 101</v>
      </c>
      <c r="D223" t="str" cm="1">
        <f t="array" ref="D223">insertinto(A223:C223,$F$2:$G$4,"pr_Grades")</f>
        <v>insert into pr_Grades values ('20224484', 'POL 101', null);</v>
      </c>
      <c r="F223" s="14"/>
      <c r="G223" s="14"/>
      <c r="H223" s="14">
        <v>220</v>
      </c>
      <c r="I223" s="14"/>
      <c r="J223" s="14"/>
    </row>
    <row r="224" spans="1:10" x14ac:dyDescent="0.15">
      <c r="A224" s="32">
        <f t="shared" si="6"/>
        <v>20224484</v>
      </c>
      <c r="B224" t="str">
        <f t="shared" si="7"/>
        <v>CS 205</v>
      </c>
      <c r="D224" t="str" cm="1">
        <f t="array" ref="D224">insertinto(A224:C224,$F$2:$G$4,"pr_Grades")</f>
        <v>insert into pr_Grades values ('20224484', 'CS 205', null);</v>
      </c>
      <c r="F224" s="14"/>
      <c r="G224" s="14"/>
      <c r="H224" s="14">
        <v>221</v>
      </c>
      <c r="I224" s="14"/>
      <c r="J224" s="14"/>
    </row>
    <row r="225" spans="1:10" x14ac:dyDescent="0.15">
      <c r="A225" s="32">
        <f t="shared" si="6"/>
        <v>20224484</v>
      </c>
      <c r="B225" t="str">
        <f t="shared" si="7"/>
        <v>CS 215</v>
      </c>
      <c r="D225" t="str" cm="1">
        <f t="array" ref="D225">insertinto(A225:C225,$F$2:$G$4,"pr_Grades")</f>
        <v>insert into pr_Grades values ('20224484', 'CS 215', null);</v>
      </c>
      <c r="F225" s="14"/>
      <c r="G225" s="14"/>
      <c r="H225" s="14">
        <v>222</v>
      </c>
      <c r="I225" s="14"/>
      <c r="J225" s="14"/>
    </row>
    <row r="226" spans="1:10" x14ac:dyDescent="0.15">
      <c r="A226" s="32">
        <f t="shared" si="6"/>
        <v>20226724</v>
      </c>
      <c r="B226" t="str">
        <f t="shared" si="7"/>
        <v>ENG 101</v>
      </c>
      <c r="D226" t="str" cm="1">
        <f t="array" ref="D226">insertinto(A226:C226,$F$2:$G$4,"pr_Grades")</f>
        <v>insert into pr_Grades values ('20226724', 'ENG 101', null);</v>
      </c>
      <c r="F226" s="14"/>
      <c r="G226" s="14"/>
      <c r="H226" s="14">
        <v>223</v>
      </c>
      <c r="I226" s="14"/>
      <c r="J226" s="14"/>
    </row>
    <row r="227" spans="1:10" x14ac:dyDescent="0.15">
      <c r="A227" s="32">
        <f t="shared" si="6"/>
        <v>20226724</v>
      </c>
      <c r="B227" t="str">
        <f t="shared" si="7"/>
        <v>CS 180</v>
      </c>
      <c r="D227" t="str" cm="1">
        <f t="array" ref="D227">insertinto(A227:C227,$F$2:$G$4,"pr_Grades")</f>
        <v>insert into pr_Grades values ('20226724', 'CS 180', null);</v>
      </c>
      <c r="F227" s="14"/>
      <c r="G227" s="14"/>
      <c r="H227" s="14">
        <v>224</v>
      </c>
      <c r="I227" s="14"/>
      <c r="J227" s="14"/>
    </row>
    <row r="228" spans="1:10" x14ac:dyDescent="0.15">
      <c r="A228" s="32">
        <f t="shared" si="6"/>
        <v>20226724</v>
      </c>
      <c r="B228" t="str">
        <f t="shared" si="7"/>
        <v>CS 105</v>
      </c>
      <c r="D228" t="str" cm="1">
        <f t="array" ref="D228">insertinto(A228:C228,$F$2:$G$4,"pr_Grades")</f>
        <v>insert into pr_Grades values ('20226724', 'CS 105', null);</v>
      </c>
      <c r="F228" s="14"/>
      <c r="G228" s="14"/>
      <c r="H228" s="14">
        <v>225</v>
      </c>
      <c r="I228" s="14"/>
      <c r="J228" s="14"/>
    </row>
    <row r="229" spans="1:10" x14ac:dyDescent="0.15">
      <c r="A229" s="32">
        <f t="shared" si="6"/>
        <v>20226724</v>
      </c>
      <c r="B229" t="str">
        <f t="shared" si="7"/>
        <v>ECO 110</v>
      </c>
      <c r="D229" t="str" cm="1">
        <f t="array" ref="D229">insertinto(A229:C229,$F$2:$G$4,"pr_Grades")</f>
        <v>insert into pr_Grades values ('20226724', 'ECO 110', null);</v>
      </c>
      <c r="F229" s="14"/>
      <c r="G229" s="14"/>
      <c r="H229" s="14">
        <v>226</v>
      </c>
      <c r="I229" s="14"/>
      <c r="J229" s="14"/>
    </row>
    <row r="230" spans="1:10" x14ac:dyDescent="0.15">
      <c r="A230" s="32">
        <f t="shared" si="6"/>
        <v>20226724</v>
      </c>
      <c r="B230" t="str">
        <f t="shared" si="7"/>
        <v>MATH 120</v>
      </c>
      <c r="D230" t="str" cm="1">
        <f t="array" ref="D230">insertinto(A230:C230,$F$2:$G$4,"pr_Grades")</f>
        <v>insert into pr_Grades values ('20226724', 'MATH 120', null);</v>
      </c>
      <c r="F230" s="14"/>
      <c r="G230" s="14"/>
      <c r="H230" s="14">
        <v>227</v>
      </c>
      <c r="I230" s="14"/>
      <c r="J230" s="14"/>
    </row>
    <row r="231" spans="1:10" x14ac:dyDescent="0.15">
      <c r="A231" s="32">
        <f t="shared" si="6"/>
        <v>20226724</v>
      </c>
      <c r="B231" t="str">
        <f t="shared" si="7"/>
        <v>ENG 102</v>
      </c>
      <c r="D231" t="str" cm="1">
        <f t="array" ref="D231">insertinto(A231:C231,$F$2:$G$4,"pr_Grades")</f>
        <v>insert into pr_Grades values ('20226724', 'ENG 102', null);</v>
      </c>
      <c r="F231" s="14"/>
      <c r="G231" s="14"/>
      <c r="H231" s="14">
        <v>228</v>
      </c>
      <c r="I231" s="14"/>
      <c r="J231" s="14"/>
    </row>
    <row r="232" spans="1:10" x14ac:dyDescent="0.15">
      <c r="A232" s="32">
        <f t="shared" si="6"/>
        <v>20226724</v>
      </c>
      <c r="B232" t="str">
        <f t="shared" si="7"/>
        <v>CS 106</v>
      </c>
      <c r="D232" t="str" cm="1">
        <f t="array" ref="D232">insertinto(A232:C232,$F$2:$G$4,"pr_Grades")</f>
        <v>insert into pr_Grades values ('20226724', 'CS 106', null);</v>
      </c>
      <c r="F232" s="14"/>
      <c r="G232" s="14"/>
      <c r="H232" s="14">
        <v>229</v>
      </c>
      <c r="I232" s="14"/>
      <c r="J232" s="14"/>
    </row>
    <row r="233" spans="1:10" x14ac:dyDescent="0.15">
      <c r="A233" s="32">
        <f t="shared" si="6"/>
        <v>20226724</v>
      </c>
      <c r="B233" t="str">
        <f t="shared" si="7"/>
        <v>CS 107</v>
      </c>
      <c r="D233" t="str" cm="1">
        <f t="array" ref="D233">insertinto(A233:C233,$F$2:$G$4,"pr_Grades")</f>
        <v>insert into pr_Grades values ('20226724', 'CS 107', null);</v>
      </c>
      <c r="F233" s="14"/>
      <c r="G233" s="14"/>
      <c r="H233" s="14">
        <v>230</v>
      </c>
      <c r="I233" s="14"/>
      <c r="J233" s="14"/>
    </row>
    <row r="234" spans="1:10" x14ac:dyDescent="0.15">
      <c r="A234" s="32">
        <f t="shared" si="6"/>
        <v>20226724</v>
      </c>
      <c r="B234" t="str">
        <f t="shared" si="7"/>
        <v>ART 120</v>
      </c>
      <c r="D234" t="str" cm="1">
        <f t="array" ref="D234">insertinto(A234:C234,$F$2:$G$4,"pr_Grades")</f>
        <v>insert into pr_Grades values ('20226724', 'ART 120', null);</v>
      </c>
      <c r="F234" s="14"/>
      <c r="G234" s="14"/>
      <c r="H234" s="14">
        <v>231</v>
      </c>
      <c r="I234" s="14"/>
      <c r="J234" s="14"/>
    </row>
    <row r="235" spans="1:10" x14ac:dyDescent="0.15">
      <c r="A235" s="32">
        <f t="shared" si="6"/>
        <v>20226724</v>
      </c>
      <c r="B235" t="str">
        <f t="shared" si="7"/>
        <v>HIS 120</v>
      </c>
      <c r="D235" t="str" cm="1">
        <f t="array" ref="D235">insertinto(A235:C235,$F$2:$G$4,"pr_Grades")</f>
        <v>insert into pr_Grades values ('20226724', 'HIS 120', null);</v>
      </c>
      <c r="F235" s="14"/>
      <c r="G235" s="14"/>
      <c r="H235" s="14">
        <v>232</v>
      </c>
      <c r="I235" s="14"/>
      <c r="J235" s="14"/>
    </row>
    <row r="236" spans="1:10" x14ac:dyDescent="0.15">
      <c r="A236" s="32">
        <f t="shared" si="6"/>
        <v>20226724</v>
      </c>
      <c r="B236" t="str">
        <f t="shared" si="7"/>
        <v>PHIL 101</v>
      </c>
      <c r="D236" t="str" cm="1">
        <f t="array" ref="D236">insertinto(A236:C236,$F$2:$G$4,"pr_Grades")</f>
        <v>insert into pr_Grades values ('20226724', 'PHIL 101', null);</v>
      </c>
      <c r="F236" s="14"/>
      <c r="G236" s="14"/>
      <c r="H236" s="14">
        <v>233</v>
      </c>
      <c r="I236" s="14"/>
      <c r="J236" s="14"/>
    </row>
    <row r="237" spans="1:10" x14ac:dyDescent="0.15">
      <c r="A237" s="32">
        <f t="shared" si="6"/>
        <v>20226724</v>
      </c>
      <c r="B237" t="str">
        <f t="shared" si="7"/>
        <v>POL 101</v>
      </c>
      <c r="D237" t="str" cm="1">
        <f t="array" ref="D237">insertinto(A237:C237,$F$2:$G$4,"pr_Grades")</f>
        <v>insert into pr_Grades values ('20226724', 'POL 101', null);</v>
      </c>
      <c r="F237" s="14"/>
      <c r="G237" s="14"/>
      <c r="H237" s="14">
        <v>234</v>
      </c>
      <c r="I237" s="14"/>
      <c r="J237" s="14"/>
    </row>
    <row r="238" spans="1:10" x14ac:dyDescent="0.15">
      <c r="A238" s="32">
        <f t="shared" si="6"/>
        <v>20226724</v>
      </c>
      <c r="B238" t="str">
        <f t="shared" si="7"/>
        <v>CS 205</v>
      </c>
      <c r="D238" t="str" cm="1">
        <f t="array" ref="D238">insertinto(A238:C238,$F$2:$G$4,"pr_Grades")</f>
        <v>insert into pr_Grades values ('20226724', 'CS 205', null);</v>
      </c>
      <c r="F238" s="14"/>
      <c r="G238" s="14"/>
      <c r="H238" s="14">
        <v>235</v>
      </c>
      <c r="I238" s="14"/>
      <c r="J238" s="14"/>
    </row>
    <row r="239" spans="1:10" x14ac:dyDescent="0.15">
      <c r="A239" s="32">
        <f t="shared" si="6"/>
        <v>20226724</v>
      </c>
      <c r="B239" t="str">
        <f t="shared" si="7"/>
        <v>CS 215</v>
      </c>
      <c r="D239" t="str" cm="1">
        <f t="array" ref="D239">insertinto(A239:C239,$F$2:$G$4,"pr_Grades")</f>
        <v>insert into pr_Grades values ('20226724', 'CS 215', null);</v>
      </c>
      <c r="F239" s="14"/>
      <c r="G239" s="14"/>
      <c r="H239" s="14">
        <v>236</v>
      </c>
      <c r="I239" s="14"/>
      <c r="J239" s="14"/>
    </row>
    <row r="240" spans="1:10" x14ac:dyDescent="0.15">
      <c r="A240" s="32">
        <f t="shared" si="6"/>
        <v>20225519</v>
      </c>
      <c r="B240" t="str">
        <f t="shared" si="7"/>
        <v>ENG 101</v>
      </c>
      <c r="D240" t="str" cm="1">
        <f t="array" ref="D240">insertinto(A240:C240,$F$2:$G$4,"pr_Grades")</f>
        <v>insert into pr_Grades values ('20225519', 'ENG 101', null);</v>
      </c>
      <c r="F240" s="14"/>
      <c r="G240" s="14"/>
      <c r="H240" s="14">
        <v>237</v>
      </c>
      <c r="I240" s="14"/>
      <c r="J240" s="14"/>
    </row>
    <row r="241" spans="1:10" x14ac:dyDescent="0.15">
      <c r="A241" s="32">
        <f t="shared" si="6"/>
        <v>20225519</v>
      </c>
      <c r="B241" t="str">
        <f t="shared" si="7"/>
        <v>CS 180</v>
      </c>
      <c r="D241" t="str" cm="1">
        <f t="array" ref="D241">insertinto(A241:C241,$F$2:$G$4,"pr_Grades")</f>
        <v>insert into pr_Grades values ('20225519', 'CS 180', null);</v>
      </c>
      <c r="F241" s="14"/>
      <c r="G241" s="14"/>
      <c r="H241" s="14">
        <v>238</v>
      </c>
      <c r="I241" s="14"/>
      <c r="J241" s="14"/>
    </row>
    <row r="242" spans="1:10" x14ac:dyDescent="0.15">
      <c r="A242" s="32">
        <f t="shared" si="6"/>
        <v>20225519</v>
      </c>
      <c r="B242" t="str">
        <f t="shared" si="7"/>
        <v>CS 105</v>
      </c>
      <c r="D242" t="str" cm="1">
        <f t="array" ref="D242">insertinto(A242:C242,$F$2:$G$4,"pr_Grades")</f>
        <v>insert into pr_Grades values ('20225519', 'CS 105', null);</v>
      </c>
      <c r="F242" s="14"/>
      <c r="G242" s="14"/>
      <c r="H242" s="14">
        <v>239</v>
      </c>
      <c r="I242" s="14"/>
      <c r="J242" s="14"/>
    </row>
    <row r="243" spans="1:10" x14ac:dyDescent="0.15">
      <c r="A243" s="32">
        <f t="shared" si="6"/>
        <v>20225519</v>
      </c>
      <c r="B243" t="str">
        <f t="shared" si="7"/>
        <v>ECO 110</v>
      </c>
      <c r="D243" t="str" cm="1">
        <f t="array" ref="D243">insertinto(A243:C243,$F$2:$G$4,"pr_Grades")</f>
        <v>insert into pr_Grades values ('20225519', 'ECO 110', null);</v>
      </c>
      <c r="F243" s="14"/>
      <c r="G243" s="14"/>
      <c r="H243" s="14">
        <v>240</v>
      </c>
      <c r="I243" s="14"/>
      <c r="J243" s="14"/>
    </row>
    <row r="244" spans="1:10" x14ac:dyDescent="0.15">
      <c r="A244" s="32">
        <f t="shared" si="6"/>
        <v>20225519</v>
      </c>
      <c r="B244" t="str">
        <f t="shared" si="7"/>
        <v>MATH 120</v>
      </c>
      <c r="D244" t="str" cm="1">
        <f t="array" ref="D244">insertinto(A244:C244,$F$2:$G$4,"pr_Grades")</f>
        <v>insert into pr_Grades values ('20225519', 'MATH 120', null);</v>
      </c>
      <c r="F244" s="14"/>
      <c r="G244" s="14"/>
      <c r="H244" s="14">
        <v>241</v>
      </c>
      <c r="I244" s="14"/>
      <c r="J244" s="14"/>
    </row>
    <row r="245" spans="1:10" x14ac:dyDescent="0.15">
      <c r="A245" s="32">
        <f t="shared" si="6"/>
        <v>20225519</v>
      </c>
      <c r="B245" t="str">
        <f t="shared" si="7"/>
        <v>ENG 102</v>
      </c>
      <c r="D245" t="str" cm="1">
        <f t="array" ref="D245">insertinto(A245:C245,$F$2:$G$4,"pr_Grades")</f>
        <v>insert into pr_Grades values ('20225519', 'ENG 102', null);</v>
      </c>
      <c r="F245" s="14"/>
      <c r="G245" s="14"/>
      <c r="H245" s="14">
        <v>242</v>
      </c>
      <c r="I245" s="14"/>
      <c r="J245" s="14"/>
    </row>
    <row r="246" spans="1:10" x14ac:dyDescent="0.15">
      <c r="A246" s="32">
        <f t="shared" si="6"/>
        <v>20225519</v>
      </c>
      <c r="B246" t="str">
        <f t="shared" si="7"/>
        <v>CS 106</v>
      </c>
      <c r="D246" t="str" cm="1">
        <f t="array" ref="D246">insertinto(A246:C246,$F$2:$G$4,"pr_Grades")</f>
        <v>insert into pr_Grades values ('20225519', 'CS 106', null);</v>
      </c>
      <c r="F246" s="14"/>
      <c r="G246" s="14"/>
      <c r="H246" s="14">
        <v>243</v>
      </c>
      <c r="I246" s="14"/>
      <c r="J246" s="14"/>
    </row>
    <row r="247" spans="1:10" x14ac:dyDescent="0.15">
      <c r="A247" s="32">
        <f t="shared" si="6"/>
        <v>20225519</v>
      </c>
      <c r="B247" t="str">
        <f t="shared" si="7"/>
        <v>CS 107</v>
      </c>
      <c r="D247" t="str" cm="1">
        <f t="array" ref="D247">insertinto(A247:C247,$F$2:$G$4,"pr_Grades")</f>
        <v>insert into pr_Grades values ('20225519', 'CS 107', null);</v>
      </c>
      <c r="F247" s="14"/>
      <c r="G247" s="14"/>
      <c r="H247" s="14">
        <v>244</v>
      </c>
      <c r="I247" s="14"/>
      <c r="J247" s="14"/>
    </row>
    <row r="248" spans="1:10" x14ac:dyDescent="0.15">
      <c r="A248" s="32">
        <f t="shared" si="6"/>
        <v>20225519</v>
      </c>
      <c r="B248" t="str">
        <f t="shared" si="7"/>
        <v>ART 120</v>
      </c>
      <c r="D248" t="str" cm="1">
        <f t="array" ref="D248">insertinto(A248:C248,$F$2:$G$4,"pr_Grades")</f>
        <v>insert into pr_Grades values ('20225519', 'ART 120', null);</v>
      </c>
      <c r="F248" s="14"/>
      <c r="G248" s="14"/>
      <c r="H248" s="14">
        <v>245</v>
      </c>
      <c r="I248" s="14"/>
      <c r="J248" s="14"/>
    </row>
    <row r="249" spans="1:10" x14ac:dyDescent="0.15">
      <c r="A249" s="32">
        <f t="shared" si="6"/>
        <v>20225519</v>
      </c>
      <c r="B249" t="str">
        <f t="shared" si="7"/>
        <v>HIS 120</v>
      </c>
      <c r="D249" t="str" cm="1">
        <f t="array" ref="D249">insertinto(A249:C249,$F$2:$G$4,"pr_Grades")</f>
        <v>insert into pr_Grades values ('20225519', 'HIS 120', null);</v>
      </c>
      <c r="F249" s="14"/>
      <c r="G249" s="14"/>
      <c r="H249" s="14">
        <v>246</v>
      </c>
      <c r="I249" s="14"/>
      <c r="J249" s="14"/>
    </row>
    <row r="250" spans="1:10" x14ac:dyDescent="0.15">
      <c r="A250" s="32">
        <f t="shared" si="6"/>
        <v>20225519</v>
      </c>
      <c r="B250" t="str">
        <f t="shared" si="7"/>
        <v>PHIL 101</v>
      </c>
      <c r="D250" t="str" cm="1">
        <f t="array" ref="D250">insertinto(A250:C250,$F$2:$G$4,"pr_Grades")</f>
        <v>insert into pr_Grades values ('20225519', 'PHIL 101', null);</v>
      </c>
      <c r="F250" s="14"/>
      <c r="G250" s="14"/>
      <c r="H250" s="14">
        <v>247</v>
      </c>
      <c r="I250" s="14"/>
      <c r="J250" s="14"/>
    </row>
    <row r="251" spans="1:10" x14ac:dyDescent="0.15">
      <c r="A251" s="32">
        <f t="shared" si="6"/>
        <v>20225519</v>
      </c>
      <c r="B251" t="str">
        <f t="shared" si="7"/>
        <v>POL 101</v>
      </c>
      <c r="D251" t="str" cm="1">
        <f t="array" ref="D251">insertinto(A251:C251,$F$2:$G$4,"pr_Grades")</f>
        <v>insert into pr_Grades values ('20225519', 'POL 101', null);</v>
      </c>
      <c r="F251" s="14"/>
      <c r="G251" s="14"/>
      <c r="H251" s="14">
        <v>248</v>
      </c>
      <c r="I251" s="14"/>
      <c r="J251" s="14"/>
    </row>
    <row r="252" spans="1:10" x14ac:dyDescent="0.15">
      <c r="A252" s="32">
        <f t="shared" si="6"/>
        <v>20225519</v>
      </c>
      <c r="B252" t="str">
        <f t="shared" si="7"/>
        <v>CS 205</v>
      </c>
      <c r="D252" t="str" cm="1">
        <f t="array" ref="D252">insertinto(A252:C252,$F$2:$G$4,"pr_Grades")</f>
        <v>insert into pr_Grades values ('20225519', 'CS 205', null);</v>
      </c>
      <c r="F252" s="14"/>
      <c r="G252" s="14"/>
      <c r="H252" s="14">
        <v>249</v>
      </c>
      <c r="I252" s="14"/>
      <c r="J252" s="14"/>
    </row>
    <row r="253" spans="1:10" x14ac:dyDescent="0.15">
      <c r="A253" s="32">
        <f t="shared" si="6"/>
        <v>20225519</v>
      </c>
      <c r="B253" t="str">
        <f t="shared" si="7"/>
        <v>CS 215</v>
      </c>
      <c r="D253" t="str" cm="1">
        <f t="array" ref="D253">insertinto(A253:C253,$F$2:$G$4,"pr_Grades")</f>
        <v>insert into pr_Grades values ('20225519', 'CS 215', null);</v>
      </c>
      <c r="F253" s="14"/>
      <c r="G253" s="14"/>
      <c r="H253" s="14">
        <v>250</v>
      </c>
      <c r="I253" s="14"/>
      <c r="J253" s="14"/>
    </row>
    <row r="254" spans="1:10" x14ac:dyDescent="0.15">
      <c r="A254" s="32">
        <f t="shared" si="6"/>
        <v>20227388</v>
      </c>
      <c r="B254" t="str">
        <f t="shared" si="7"/>
        <v>ENG 101</v>
      </c>
      <c r="D254" t="str" cm="1">
        <f t="array" ref="D254">insertinto(A254:C254,$F$2:$G$4,"pr_Grades")</f>
        <v>insert into pr_Grades values ('20227388', 'ENG 101', null);</v>
      </c>
      <c r="F254" s="14"/>
      <c r="G254" s="14"/>
      <c r="H254" s="14">
        <v>251</v>
      </c>
      <c r="I254" s="14"/>
      <c r="J254" s="14"/>
    </row>
    <row r="255" spans="1:10" x14ac:dyDescent="0.15">
      <c r="A255" s="32">
        <f t="shared" si="6"/>
        <v>20227388</v>
      </c>
      <c r="B255" t="str">
        <f t="shared" si="7"/>
        <v>CS 180</v>
      </c>
      <c r="D255" t="str" cm="1">
        <f t="array" ref="D255">insertinto(A255:C255,$F$2:$G$4,"pr_Grades")</f>
        <v>insert into pr_Grades values ('20227388', 'CS 180', null);</v>
      </c>
      <c r="F255" s="14"/>
      <c r="G255" s="14"/>
      <c r="H255" s="14">
        <v>252</v>
      </c>
      <c r="I255" s="14"/>
      <c r="J255" s="14"/>
    </row>
    <row r="256" spans="1:10" x14ac:dyDescent="0.15">
      <c r="A256" s="32">
        <f t="shared" si="6"/>
        <v>20227388</v>
      </c>
      <c r="B256" t="str">
        <f t="shared" si="7"/>
        <v>CS 105</v>
      </c>
      <c r="D256" t="str" cm="1">
        <f t="array" ref="D256">insertinto(A256:C256,$F$2:$G$4,"pr_Grades")</f>
        <v>insert into pr_Grades values ('20227388', 'CS 105', null);</v>
      </c>
      <c r="F256" s="14"/>
      <c r="G256" s="14"/>
      <c r="H256" s="14">
        <v>253</v>
      </c>
      <c r="I256" s="14"/>
      <c r="J256" s="14"/>
    </row>
    <row r="257" spans="1:10" x14ac:dyDescent="0.15">
      <c r="A257" s="32">
        <f t="shared" si="6"/>
        <v>20227388</v>
      </c>
      <c r="B257" t="str">
        <f t="shared" si="7"/>
        <v>ECO 110</v>
      </c>
      <c r="D257" t="str" cm="1">
        <f t="array" ref="D257">insertinto(A257:C257,$F$2:$G$4,"pr_Grades")</f>
        <v>insert into pr_Grades values ('20227388', 'ECO 110', null);</v>
      </c>
      <c r="F257" s="14"/>
      <c r="G257" s="14"/>
      <c r="H257" s="14">
        <v>254</v>
      </c>
      <c r="I257" s="14"/>
      <c r="J257" s="14"/>
    </row>
    <row r="258" spans="1:10" x14ac:dyDescent="0.15">
      <c r="A258" s="32">
        <f t="shared" si="6"/>
        <v>20227388</v>
      </c>
      <c r="B258" t="str">
        <f t="shared" si="7"/>
        <v>MATH 120</v>
      </c>
      <c r="D258" t="str" cm="1">
        <f t="array" ref="D258">insertinto(A258:C258,$F$2:$G$4,"pr_Grades")</f>
        <v>insert into pr_Grades values ('20227388', 'MATH 120', null);</v>
      </c>
      <c r="F258" s="14"/>
      <c r="G258" s="14"/>
      <c r="H258" s="14">
        <v>255</v>
      </c>
      <c r="I258" s="14"/>
      <c r="J258" s="14"/>
    </row>
    <row r="259" spans="1:10" x14ac:dyDescent="0.15">
      <c r="A259" s="32">
        <f t="shared" ref="A259:A281" si="8">INDEX($I$3:$I$22,INT(H260/14)+1)</f>
        <v>20227388</v>
      </c>
      <c r="B259" t="str">
        <f t="shared" ref="B259:B281" si="9">INDEX($J$3:$J$16,MOD(H260,14)+1)</f>
        <v>ENG 102</v>
      </c>
      <c r="D259" t="str" cm="1">
        <f t="array" ref="D259">insertinto(A259:C259,$F$2:$G$4,"pr_Grades")</f>
        <v>insert into pr_Grades values ('20227388', 'ENG 102', null);</v>
      </c>
      <c r="F259" s="14"/>
      <c r="G259" s="14"/>
      <c r="H259" s="14">
        <v>256</v>
      </c>
      <c r="I259" s="14"/>
      <c r="J259" s="14"/>
    </row>
    <row r="260" spans="1:10" x14ac:dyDescent="0.15">
      <c r="A260" s="32">
        <f t="shared" si="8"/>
        <v>20227388</v>
      </c>
      <c r="B260" t="str">
        <f t="shared" si="9"/>
        <v>CS 106</v>
      </c>
      <c r="D260" t="str" cm="1">
        <f t="array" ref="D260">insertinto(A260:C260,$F$2:$G$4,"pr_Grades")</f>
        <v>insert into pr_Grades values ('20227388', 'CS 106', null);</v>
      </c>
      <c r="F260" s="14"/>
      <c r="G260" s="14"/>
      <c r="H260" s="14">
        <v>257</v>
      </c>
      <c r="I260" s="14"/>
      <c r="J260" s="14"/>
    </row>
    <row r="261" spans="1:10" x14ac:dyDescent="0.15">
      <c r="A261" s="32">
        <f t="shared" si="8"/>
        <v>20227388</v>
      </c>
      <c r="B261" t="str">
        <f t="shared" si="9"/>
        <v>CS 107</v>
      </c>
      <c r="D261" t="str" cm="1">
        <f t="array" ref="D261">insertinto(A261:C261,$F$2:$G$4,"pr_Grades")</f>
        <v>insert into pr_Grades values ('20227388', 'CS 107', null);</v>
      </c>
      <c r="F261" s="14"/>
      <c r="G261" s="14"/>
      <c r="H261" s="14">
        <v>258</v>
      </c>
      <c r="I261" s="14"/>
      <c r="J261" s="14"/>
    </row>
    <row r="262" spans="1:10" x14ac:dyDescent="0.15">
      <c r="A262" s="32">
        <f t="shared" si="8"/>
        <v>20227388</v>
      </c>
      <c r="B262" t="str">
        <f t="shared" si="9"/>
        <v>ART 120</v>
      </c>
      <c r="D262" t="str" cm="1">
        <f t="array" ref="D262">insertinto(A262:C262,$F$2:$G$4,"pr_Grades")</f>
        <v>insert into pr_Grades values ('20227388', 'ART 120', null);</v>
      </c>
      <c r="F262" s="14"/>
      <c r="G262" s="14"/>
      <c r="H262" s="14">
        <v>259</v>
      </c>
      <c r="I262" s="14"/>
      <c r="J262" s="14"/>
    </row>
    <row r="263" spans="1:10" x14ac:dyDescent="0.15">
      <c r="A263" s="32">
        <f t="shared" si="8"/>
        <v>20227388</v>
      </c>
      <c r="B263" t="str">
        <f t="shared" si="9"/>
        <v>HIS 120</v>
      </c>
      <c r="D263" t="str" cm="1">
        <f t="array" ref="D263">insertinto(A263:C263,$F$2:$G$4,"pr_Grades")</f>
        <v>insert into pr_Grades values ('20227388', 'HIS 120', null);</v>
      </c>
      <c r="F263" s="14"/>
      <c r="G263" s="14"/>
      <c r="H263" s="14">
        <v>260</v>
      </c>
      <c r="I263" s="14"/>
      <c r="J263" s="14"/>
    </row>
    <row r="264" spans="1:10" x14ac:dyDescent="0.15">
      <c r="A264" s="32">
        <f t="shared" si="8"/>
        <v>20227388</v>
      </c>
      <c r="B264" t="str">
        <f t="shared" si="9"/>
        <v>PHIL 101</v>
      </c>
      <c r="D264" t="str" cm="1">
        <f t="array" ref="D264">insertinto(A264:C264,$F$2:$G$4,"pr_Grades")</f>
        <v>insert into pr_Grades values ('20227388', 'PHIL 101', null);</v>
      </c>
      <c r="F264" s="14"/>
      <c r="G264" s="14"/>
      <c r="H264" s="14">
        <v>261</v>
      </c>
      <c r="I264" s="14"/>
      <c r="J264" s="14"/>
    </row>
    <row r="265" spans="1:10" x14ac:dyDescent="0.15">
      <c r="A265" s="32">
        <f t="shared" si="8"/>
        <v>20227388</v>
      </c>
      <c r="B265" t="str">
        <f t="shared" si="9"/>
        <v>POL 101</v>
      </c>
      <c r="D265" t="str" cm="1">
        <f t="array" ref="D265">insertinto(A265:C265,$F$2:$G$4,"pr_Grades")</f>
        <v>insert into pr_Grades values ('20227388', 'POL 101', null);</v>
      </c>
      <c r="F265" s="14"/>
      <c r="G265" s="14"/>
      <c r="H265" s="14">
        <v>262</v>
      </c>
      <c r="I265" s="14"/>
      <c r="J265" s="14"/>
    </row>
    <row r="266" spans="1:10" x14ac:dyDescent="0.15">
      <c r="A266" s="32">
        <f t="shared" si="8"/>
        <v>20227388</v>
      </c>
      <c r="B266" t="str">
        <f t="shared" si="9"/>
        <v>CS 205</v>
      </c>
      <c r="D266" t="str" cm="1">
        <f t="array" ref="D266">insertinto(A266:C266,$F$2:$G$4,"pr_Grades")</f>
        <v>insert into pr_Grades values ('20227388', 'CS 205', null);</v>
      </c>
      <c r="F266" s="14"/>
      <c r="G266" s="14"/>
      <c r="H266" s="14">
        <v>263</v>
      </c>
      <c r="I266" s="14"/>
      <c r="J266" s="14"/>
    </row>
    <row r="267" spans="1:10" x14ac:dyDescent="0.15">
      <c r="A267" s="32">
        <f t="shared" si="8"/>
        <v>20227388</v>
      </c>
      <c r="B267" t="str">
        <f t="shared" si="9"/>
        <v>CS 215</v>
      </c>
      <c r="D267" t="str" cm="1">
        <f t="array" ref="D267">insertinto(A267:C267,$F$2:$G$4,"pr_Grades")</f>
        <v>insert into pr_Grades values ('20227388', 'CS 215', null);</v>
      </c>
      <c r="F267" s="14"/>
      <c r="G267" s="14"/>
      <c r="H267" s="14">
        <v>264</v>
      </c>
      <c r="I267" s="14"/>
      <c r="J267" s="14"/>
    </row>
    <row r="268" spans="1:10" x14ac:dyDescent="0.15">
      <c r="A268" s="32">
        <f t="shared" si="8"/>
        <v>20223671</v>
      </c>
      <c r="B268" t="str">
        <f t="shared" si="9"/>
        <v>ENG 101</v>
      </c>
      <c r="D268" t="str" cm="1">
        <f t="array" ref="D268">insertinto(A268:C268,$F$2:$G$4,"pr_Grades")</f>
        <v>insert into pr_Grades values ('20223671', 'ENG 101', null);</v>
      </c>
      <c r="F268" s="14"/>
      <c r="G268" s="14"/>
      <c r="H268" s="14">
        <v>265</v>
      </c>
      <c r="I268" s="14"/>
      <c r="J268" s="14"/>
    </row>
    <row r="269" spans="1:10" x14ac:dyDescent="0.15">
      <c r="A269" s="32">
        <f t="shared" si="8"/>
        <v>20223671</v>
      </c>
      <c r="B269" t="str">
        <f t="shared" si="9"/>
        <v>CS 180</v>
      </c>
      <c r="D269" t="str" cm="1">
        <f t="array" ref="D269">insertinto(A269:C269,$F$2:$G$4,"pr_Grades")</f>
        <v>insert into pr_Grades values ('20223671', 'CS 180', null);</v>
      </c>
      <c r="F269" s="14"/>
      <c r="G269" s="14"/>
      <c r="H269" s="14">
        <v>266</v>
      </c>
      <c r="I269" s="14"/>
      <c r="J269" s="14"/>
    </row>
    <row r="270" spans="1:10" x14ac:dyDescent="0.15">
      <c r="A270" s="32">
        <f t="shared" si="8"/>
        <v>20223671</v>
      </c>
      <c r="B270" t="str">
        <f t="shared" si="9"/>
        <v>CS 105</v>
      </c>
      <c r="D270" t="str" cm="1">
        <f t="array" ref="D270">insertinto(A270:C270,$F$2:$G$4,"pr_Grades")</f>
        <v>insert into pr_Grades values ('20223671', 'CS 105', null);</v>
      </c>
      <c r="F270" s="14"/>
      <c r="G270" s="14"/>
      <c r="H270" s="14">
        <v>267</v>
      </c>
      <c r="I270" s="14"/>
      <c r="J270" s="14"/>
    </row>
    <row r="271" spans="1:10" x14ac:dyDescent="0.15">
      <c r="A271" s="32">
        <f t="shared" si="8"/>
        <v>20223671</v>
      </c>
      <c r="B271" t="str">
        <f t="shared" si="9"/>
        <v>ECO 110</v>
      </c>
      <c r="D271" t="str" cm="1">
        <f t="array" ref="D271">insertinto(A271:C271,$F$2:$G$4,"pr_Grades")</f>
        <v>insert into pr_Grades values ('20223671', 'ECO 110', null);</v>
      </c>
      <c r="F271" s="14"/>
      <c r="G271" s="14"/>
      <c r="H271" s="14">
        <v>268</v>
      </c>
      <c r="I271" s="14"/>
      <c r="J271" s="14"/>
    </row>
    <row r="272" spans="1:10" x14ac:dyDescent="0.15">
      <c r="A272" s="32">
        <f t="shared" si="8"/>
        <v>20223671</v>
      </c>
      <c r="B272" t="str">
        <f t="shared" si="9"/>
        <v>MATH 120</v>
      </c>
      <c r="D272" t="str" cm="1">
        <f t="array" ref="D272">insertinto(A272:C272,$F$2:$G$4,"pr_Grades")</f>
        <v>insert into pr_Grades values ('20223671', 'MATH 120', null);</v>
      </c>
      <c r="F272" s="14"/>
      <c r="G272" s="14"/>
      <c r="H272" s="14">
        <v>269</v>
      </c>
      <c r="I272" s="14"/>
      <c r="J272" s="14"/>
    </row>
    <row r="273" spans="1:10" x14ac:dyDescent="0.15">
      <c r="A273" s="32">
        <f t="shared" si="8"/>
        <v>20223671</v>
      </c>
      <c r="B273" t="str">
        <f t="shared" si="9"/>
        <v>ENG 102</v>
      </c>
      <c r="D273" t="str" cm="1">
        <f t="array" ref="D273">insertinto(A273:C273,$F$2:$G$4,"pr_Grades")</f>
        <v>insert into pr_Grades values ('20223671', 'ENG 102', null);</v>
      </c>
      <c r="F273" s="14"/>
      <c r="G273" s="14"/>
      <c r="H273" s="14">
        <v>270</v>
      </c>
      <c r="I273" s="14"/>
      <c r="J273" s="14"/>
    </row>
    <row r="274" spans="1:10" x14ac:dyDescent="0.15">
      <c r="A274" s="32">
        <f t="shared" si="8"/>
        <v>20223671</v>
      </c>
      <c r="B274" t="str">
        <f t="shared" si="9"/>
        <v>CS 106</v>
      </c>
      <c r="D274" t="str" cm="1">
        <f t="array" ref="D274">insertinto(A274:C274,$F$2:$G$4,"pr_Grades")</f>
        <v>insert into pr_Grades values ('20223671', 'CS 106', null);</v>
      </c>
      <c r="F274" s="14"/>
      <c r="G274" s="14"/>
      <c r="H274" s="14">
        <v>271</v>
      </c>
      <c r="I274" s="14"/>
      <c r="J274" s="14"/>
    </row>
    <row r="275" spans="1:10" x14ac:dyDescent="0.15">
      <c r="A275" s="32">
        <f t="shared" si="8"/>
        <v>20223671</v>
      </c>
      <c r="B275" t="str">
        <f t="shared" si="9"/>
        <v>CS 107</v>
      </c>
      <c r="D275" t="str" cm="1">
        <f t="array" ref="D275">insertinto(A275:C275,$F$2:$G$4,"pr_Grades")</f>
        <v>insert into pr_Grades values ('20223671', 'CS 107', null);</v>
      </c>
      <c r="F275" s="14"/>
      <c r="G275" s="14"/>
      <c r="H275" s="14">
        <v>272</v>
      </c>
      <c r="I275" s="14"/>
      <c r="J275" s="14"/>
    </row>
    <row r="276" spans="1:10" x14ac:dyDescent="0.15">
      <c r="A276" s="32">
        <f t="shared" si="8"/>
        <v>20223671</v>
      </c>
      <c r="B276" t="str">
        <f t="shared" si="9"/>
        <v>ART 120</v>
      </c>
      <c r="D276" t="str" cm="1">
        <f t="array" ref="D276">insertinto(A276:C276,$F$2:$G$4,"pr_Grades")</f>
        <v>insert into pr_Grades values ('20223671', 'ART 120', null);</v>
      </c>
      <c r="F276" s="14"/>
      <c r="G276" s="14"/>
      <c r="H276" s="14">
        <v>273</v>
      </c>
      <c r="I276" s="14"/>
      <c r="J276" s="14"/>
    </row>
    <row r="277" spans="1:10" x14ac:dyDescent="0.15">
      <c r="A277" s="32">
        <f t="shared" si="8"/>
        <v>20223671</v>
      </c>
      <c r="B277" t="str">
        <f t="shared" si="9"/>
        <v>HIS 120</v>
      </c>
      <c r="D277" t="str" cm="1">
        <f t="array" ref="D277">insertinto(A277:C277,$F$2:$G$4,"pr_Grades")</f>
        <v>insert into pr_Grades values ('20223671', 'HIS 120', null);</v>
      </c>
      <c r="F277" s="14"/>
      <c r="G277" s="14"/>
      <c r="H277" s="14">
        <v>274</v>
      </c>
      <c r="I277" s="14"/>
      <c r="J277" s="14"/>
    </row>
    <row r="278" spans="1:10" x14ac:dyDescent="0.15">
      <c r="A278" s="32">
        <f t="shared" si="8"/>
        <v>20223671</v>
      </c>
      <c r="B278" t="str">
        <f t="shared" si="9"/>
        <v>PHIL 101</v>
      </c>
      <c r="D278" t="str" cm="1">
        <f t="array" ref="D278">insertinto(A278:C278,$F$2:$G$4,"pr_Grades")</f>
        <v>insert into pr_Grades values ('20223671', 'PHIL 101', null);</v>
      </c>
      <c r="F278" s="14"/>
      <c r="G278" s="14"/>
      <c r="H278" s="14">
        <v>275</v>
      </c>
      <c r="I278" s="14"/>
      <c r="J278" s="14"/>
    </row>
    <row r="279" spans="1:10" x14ac:dyDescent="0.15">
      <c r="A279" s="32">
        <f t="shared" si="8"/>
        <v>20223671</v>
      </c>
      <c r="B279" t="str">
        <f t="shared" si="9"/>
        <v>POL 101</v>
      </c>
      <c r="D279" t="str" cm="1">
        <f t="array" ref="D279">insertinto(A279:C279,$F$2:$G$4,"pr_Grades")</f>
        <v>insert into pr_Grades values ('20223671', 'POL 101', null);</v>
      </c>
      <c r="F279" s="14"/>
      <c r="G279" s="14"/>
      <c r="H279" s="14">
        <v>276</v>
      </c>
      <c r="I279" s="14"/>
      <c r="J279" s="14"/>
    </row>
    <row r="280" spans="1:10" x14ac:dyDescent="0.15">
      <c r="A280" s="32">
        <f t="shared" si="8"/>
        <v>20223671</v>
      </c>
      <c r="B280" t="str">
        <f t="shared" si="9"/>
        <v>CS 205</v>
      </c>
      <c r="D280" t="str" cm="1">
        <f t="array" ref="D280">insertinto(A280:C280,$F$2:$G$4,"pr_Grades")</f>
        <v>insert into pr_Grades values ('20223671', 'CS 205', null);</v>
      </c>
      <c r="F280" s="14"/>
      <c r="G280" s="14"/>
      <c r="H280" s="14">
        <v>277</v>
      </c>
      <c r="I280" s="14"/>
      <c r="J280" s="14"/>
    </row>
    <row r="281" spans="1:10" x14ac:dyDescent="0.15">
      <c r="A281" s="32">
        <f t="shared" si="8"/>
        <v>20223671</v>
      </c>
      <c r="B281" t="str">
        <f t="shared" si="9"/>
        <v>CS 215</v>
      </c>
      <c r="D281" t="str" cm="1">
        <f t="array" ref="D281">insertinto(A281:C281,$F$2:$G$4,"pr_Grades")</f>
        <v>insert into pr_Grades values ('20223671', 'CS 215', null);</v>
      </c>
      <c r="F281" s="14"/>
      <c r="G281" s="14"/>
      <c r="H281" s="14">
        <v>278</v>
      </c>
      <c r="I281" s="14"/>
      <c r="J281" s="14"/>
    </row>
    <row r="282" spans="1:10" x14ac:dyDescent="0.15">
      <c r="F282" s="14"/>
      <c r="G282" s="14"/>
      <c r="H282" s="14">
        <v>279</v>
      </c>
      <c r="I282" s="14"/>
      <c r="J282" s="1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3</vt:i4>
      </vt:variant>
    </vt:vector>
  </HeadingPairs>
  <TitlesOfParts>
    <vt:vector size="17" baseType="lpstr">
      <vt:lpstr>COND</vt:lpstr>
      <vt:lpstr>Students</vt:lpstr>
      <vt:lpstr>Courses</vt:lpstr>
      <vt:lpstr>Enrolments</vt:lpstr>
      <vt:lpstr>Professors</vt:lpstr>
      <vt:lpstr>Assignments_Tests</vt:lpstr>
      <vt:lpstr>Projects</vt:lpstr>
      <vt:lpstr>Midterms</vt:lpstr>
      <vt:lpstr>Finals</vt:lpstr>
      <vt:lpstr>Assignments_Results</vt:lpstr>
      <vt:lpstr>Projects_Results</vt:lpstr>
      <vt:lpstr>Midterms_Results</vt:lpstr>
      <vt:lpstr>Finals_Results</vt:lpstr>
      <vt:lpstr>Grades</vt:lpstr>
      <vt:lpstr>ffn</vt:lpstr>
      <vt:lpstr>ln</vt:lpstr>
      <vt:lpstr>mfn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valaor</dc:creator>
  <cp:lastModifiedBy>Gregory Aslanidis  OnyaNaturalStones</cp:lastModifiedBy>
  <dcterms:created xsi:type="dcterms:W3CDTF">2013-02-25T22:34:06Z</dcterms:created>
  <dcterms:modified xsi:type="dcterms:W3CDTF">2025-03-29T13:48:30Z</dcterms:modified>
</cp:coreProperties>
</file>